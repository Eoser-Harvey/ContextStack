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duct Maintain\Product Problem Record\2020年度\Acuvim3北京现场电能问题\"/>
    </mc:Choice>
  </mc:AlternateContent>
  <bookViews>
    <workbookView xWindow="-105" yWindow="-105" windowWidth="2073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9" i="1" l="1"/>
  <c r="M39" i="1"/>
  <c r="N39" i="1"/>
  <c r="K39" i="1"/>
  <c r="E11" i="1" l="1"/>
  <c r="I11" i="1" l="1"/>
  <c r="H11" i="1"/>
  <c r="G11" i="1"/>
  <c r="F11" i="1"/>
  <c r="I6" i="1"/>
  <c r="H6" i="1"/>
  <c r="G6" i="1"/>
  <c r="G8" i="1" s="1"/>
  <c r="G9" i="1" s="1"/>
  <c r="F6" i="1"/>
  <c r="E6" i="1"/>
  <c r="I7" i="1"/>
  <c r="H7" i="1"/>
  <c r="G7" i="1"/>
  <c r="F7" i="1"/>
  <c r="E7" i="1"/>
  <c r="D7" i="1"/>
  <c r="G12" i="1" s="1"/>
  <c r="D6" i="1"/>
  <c r="H12" i="1" l="1"/>
  <c r="E12" i="1"/>
  <c r="E13" i="1" s="1"/>
  <c r="E14" i="1" s="1"/>
  <c r="I12" i="1"/>
  <c r="I13" i="1" s="1"/>
  <c r="I14" i="1" s="1"/>
  <c r="H8" i="1"/>
  <c r="H9" i="1" s="1"/>
  <c r="F12" i="1"/>
  <c r="F13" i="1" s="1"/>
  <c r="F14" i="1" s="1"/>
  <c r="E8" i="1"/>
  <c r="E9" i="1" s="1"/>
  <c r="I8" i="1"/>
  <c r="I9" i="1" s="1"/>
  <c r="G13" i="1"/>
  <c r="G14" i="1" s="1"/>
  <c r="D8" i="1"/>
  <c r="D9" i="1" s="1"/>
  <c r="F8" i="1"/>
  <c r="F9" i="1" s="1"/>
  <c r="H13" i="1"/>
  <c r="H14" i="1" s="1"/>
</calcChain>
</file>

<file path=xl/sharedStrings.xml><?xml version="1.0" encoding="utf-8"?>
<sst xmlns="http://schemas.openxmlformats.org/spreadsheetml/2006/main" count="54" uniqueCount="49">
  <si>
    <t>供电局读数</t>
    <phoneticPr fontId="2" type="noConversion"/>
  </si>
  <si>
    <t>时间</t>
    <phoneticPr fontId="2" type="noConversion"/>
  </si>
  <si>
    <t>与12：38的差值（供电局）*12000</t>
    <phoneticPr fontId="2" type="noConversion"/>
  </si>
  <si>
    <t>供电局和我们的差值对比</t>
  </si>
  <si>
    <t>供电局和我们的差值对比</t>
    <phoneticPr fontId="2" type="noConversion"/>
  </si>
  <si>
    <t>差值大约占比</t>
    <phoneticPr fontId="2" type="noConversion"/>
  </si>
  <si>
    <t>以14：59作为起点的差值（供电局）*12000</t>
    <phoneticPr fontId="2" type="noConversion"/>
  </si>
  <si>
    <t>与12：38的差值（Acuvim3）</t>
    <phoneticPr fontId="2" type="noConversion"/>
  </si>
  <si>
    <t>Acuvim3读数</t>
    <phoneticPr fontId="2" type="noConversion"/>
  </si>
  <si>
    <t>以14：59作为起点的差值（Acuvim3</t>
    <phoneticPr fontId="2" type="noConversion"/>
  </si>
  <si>
    <t>15分钟</t>
  </si>
  <si>
    <t>仪表走字</t>
    <phoneticPr fontId="2" type="noConversion"/>
  </si>
  <si>
    <t>平均一分钟走字</t>
    <phoneticPr fontId="2" type="noConversion"/>
  </si>
  <si>
    <t>误差</t>
    <phoneticPr fontId="2" type="noConversion"/>
  </si>
  <si>
    <t>有功功率</t>
    <phoneticPr fontId="2" type="noConversion"/>
  </si>
  <si>
    <t>1440KW</t>
    <phoneticPr fontId="2" type="noConversion"/>
  </si>
  <si>
    <t>15:33-15:52</t>
    <phoneticPr fontId="2" type="noConversion"/>
  </si>
  <si>
    <t>19分钟</t>
    <phoneticPr fontId="2" type="noConversion"/>
  </si>
  <si>
    <t>24KW每分钟</t>
    <phoneticPr fontId="2" type="noConversion"/>
  </si>
  <si>
    <t>PF</t>
    <phoneticPr fontId="2" type="noConversion"/>
  </si>
  <si>
    <t>0.7-0.88</t>
    <phoneticPr fontId="2" type="noConversion"/>
  </si>
  <si>
    <t>0.95-0.97</t>
    <phoneticPr fontId="2" type="noConversion"/>
  </si>
  <si>
    <t>22.28KW每分钟</t>
    <phoneticPr fontId="2" type="noConversion"/>
  </si>
  <si>
    <t>15:14-15:29</t>
    <phoneticPr fontId="2" type="noConversion"/>
  </si>
  <si>
    <t>1337KW</t>
    <phoneticPr fontId="2" type="noConversion"/>
  </si>
  <si>
    <t>U</t>
    <phoneticPr fontId="2" type="noConversion"/>
  </si>
  <si>
    <t>UA</t>
    <phoneticPr fontId="2" type="noConversion"/>
  </si>
  <si>
    <t>UB</t>
    <phoneticPr fontId="2" type="noConversion"/>
  </si>
  <si>
    <t>UC</t>
    <phoneticPr fontId="2" type="noConversion"/>
  </si>
  <si>
    <t>I</t>
    <phoneticPr fontId="2" type="noConversion"/>
  </si>
  <si>
    <t>IA</t>
    <phoneticPr fontId="2" type="noConversion"/>
  </si>
  <si>
    <t>IB</t>
    <phoneticPr fontId="2" type="noConversion"/>
  </si>
  <si>
    <t>IC</t>
    <phoneticPr fontId="2" type="noConversion"/>
  </si>
  <si>
    <t>P</t>
    <phoneticPr fontId="2" type="noConversion"/>
  </si>
  <si>
    <t>PA</t>
    <phoneticPr fontId="2" type="noConversion"/>
  </si>
  <si>
    <t>PB</t>
    <phoneticPr fontId="2" type="noConversion"/>
  </si>
  <si>
    <t>PC</t>
    <phoneticPr fontId="2" type="noConversion"/>
  </si>
  <si>
    <t>Q</t>
    <phoneticPr fontId="2" type="noConversion"/>
  </si>
  <si>
    <t>S</t>
    <phoneticPr fontId="2" type="noConversion"/>
  </si>
  <si>
    <t>QA</t>
    <phoneticPr fontId="2" type="noConversion"/>
  </si>
  <si>
    <t>SA</t>
    <phoneticPr fontId="2" type="noConversion"/>
  </si>
  <si>
    <t>QB</t>
    <phoneticPr fontId="2" type="noConversion"/>
  </si>
  <si>
    <t>QC</t>
    <phoneticPr fontId="2" type="noConversion"/>
  </si>
  <si>
    <t>SB</t>
    <phoneticPr fontId="2" type="noConversion"/>
  </si>
  <si>
    <t>SC</t>
    <phoneticPr fontId="2" type="noConversion"/>
  </si>
  <si>
    <t>实际</t>
    <phoneticPr fontId="2" type="noConversion"/>
  </si>
  <si>
    <t>计算</t>
    <phoneticPr fontId="2" type="noConversion"/>
  </si>
  <si>
    <r>
      <t xml:space="preserve">1. 以上数据为：基波电能
2. 现场仪表联网吗？是否可以远程访问？ &gt;&gt; 不能
3. 售后反馈S  Q 与另一台仪表值差不多，但是咱们P比较小。
4. </t>
    </r>
    <r>
      <rPr>
        <sz val="11"/>
        <color rgb="FFFF0000"/>
        <rFont val="等线"/>
        <family val="3"/>
        <charset val="134"/>
        <scheme val="minor"/>
      </rPr>
      <t xml:space="preserve">现场数据：针对CUB高压进线201，分析电压电能功率电能、参数设置等，均正常，THD-I约20%左右,THD-U约6.52%
5. 现场的PF是0.75 - 0.88之间跳动的，偶尔会到1。
</t>
    </r>
    <phoneticPr fontId="2" type="noConversion"/>
  </si>
  <si>
    <r>
      <t xml:space="preserve">问题分析：
根本问题在于功率因数
1. 目前算法：当为全波电能时，读取功率寄存器，基波时，使用电能反推
    &gt;&gt; 根据功率进行累计电能与实际电能是否对应？
2. 广义无功、真无功的区别？ 代表的含义？
    不同接线方式是否影响电能累积？
    广义无功：S2 - P2  =  Q2 + Q'2
    仪表默认是真无功！
3. 是否有可能是现场小信号？10000/100   800/5
    &gt;&gt; 分析不像是！
    因为：6000/100 = 60V     86/160 = 0.5375A
4. 系统PF = 系统P(PA  +  PB  +  PC)  /  系统S（SA + SB  +  SC）
5. 对于基本、全波电能影响的是P   Q，S是没有变化的？
6. 谐波含量（现场的）？
7. </t>
    </r>
    <r>
      <rPr>
        <sz val="11"/>
        <color rgb="FFFF0000"/>
        <rFont val="等线"/>
        <family val="3"/>
        <charset val="134"/>
        <scheme val="minor"/>
      </rPr>
      <t>找一个第三方设备进行对比测试一下</t>
    </r>
    <r>
      <rPr>
        <sz val="11"/>
        <color theme="1"/>
        <rFont val="等线"/>
        <family val="2"/>
        <scheme val="minor"/>
      </rPr>
      <t>。
8. 现场负载类型：
    柴油发电机（PF:  0.85 - 0.9）    变压器（PF : 0.85      如果静电电容补偿后可达PF=1） 空调   照明
9. 有功 无功补偿：
    1）实际上，经过恰当设计的无功补偿装置，不但可以将三相的功率因数均补偿至1，而且可以将三相间的不平衡有功电流调整至平衡。
    2）无功补偿：在供电系统中起提高电网的功率因数的作用，降低供电变压器及输送线路的损耗，提高供电效率，改善供电环境。
    静电电容补偿：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</si>
</sst>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%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3" fillId="3" borderId="1" xfId="0" applyFont="1" applyFill="1" applyBorder="1" applyAlignment="1">
      <alignment wrapText="1"/>
    </xf>
    <xf numFmtId="20" fontId="4" fillId="3" borderId="1" xfId="0" applyNumberFormat="1" applyFont="1" applyFill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10" fontId="4" fillId="0" borderId="1" xfId="1" applyNumberFormat="1" applyFont="1" applyBorder="1" applyAlignment="1"/>
    <xf numFmtId="0" fontId="4" fillId="2" borderId="1" xfId="0" applyFont="1" applyFill="1" applyBorder="1"/>
    <xf numFmtId="176" fontId="4" fillId="0" borderId="1" xfId="0" applyNumberFormat="1" applyFont="1" applyBorder="1"/>
    <xf numFmtId="2" fontId="4" fillId="0" borderId="1" xfId="0" applyNumberFormat="1" applyFont="1" applyBorder="1"/>
    <xf numFmtId="10" fontId="0" fillId="0" borderId="0" xfId="0" applyNumberFormat="1"/>
    <xf numFmtId="177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14654</xdr:colOff>
      <xdr:row>42</xdr:row>
      <xdr:rowOff>175846</xdr:rowOff>
    </xdr:from>
    <xdr:to>
      <xdr:col>12</xdr:col>
      <xdr:colOff>204089</xdr:colOff>
      <xdr:row>43</xdr:row>
      <xdr:rowOff>1304192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6827" y="9041423"/>
          <a:ext cx="2255627" cy="1311519"/>
        </a:xfrm>
        <a:prstGeom prst="rect">
          <a:avLst/>
        </a:prstGeom>
      </xdr:spPr>
    </xdr:pic>
    <xdr:clientData/>
  </xdr:twoCellAnchor>
  <xdr:twoCellAnchor editAs="oneCell">
    <xdr:from>
      <xdr:col>9</xdr:col>
      <xdr:colOff>14654</xdr:colOff>
      <xdr:row>43</xdr:row>
      <xdr:rowOff>1311521</xdr:rowOff>
    </xdr:from>
    <xdr:to>
      <xdr:col>12</xdr:col>
      <xdr:colOff>213743</xdr:colOff>
      <xdr:row>43</xdr:row>
      <xdr:rowOff>2791559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6827" y="10360271"/>
          <a:ext cx="2265281" cy="14800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</xdr:col>
      <xdr:colOff>703385</xdr:colOff>
      <xdr:row>54</xdr:row>
      <xdr:rowOff>18647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071231"/>
          <a:ext cx="2982058" cy="1850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4"/>
  <sheetViews>
    <sheetView tabSelected="1" topLeftCell="A44" zoomScale="130" zoomScaleNormal="130" workbookViewId="0">
      <selection activeCell="D45" sqref="D45"/>
    </sheetView>
  </sheetViews>
  <sheetFormatPr defaultRowHeight="14.25" x14ac:dyDescent="0.2"/>
  <cols>
    <col min="2" max="2" width="20.875" bestFit="1" customWidth="1"/>
    <col min="3" max="3" width="13.625" customWidth="1"/>
    <col min="4" max="4" width="10.625" customWidth="1"/>
    <col min="5" max="5" width="13.125" customWidth="1"/>
    <col min="6" max="8" width="7.875" bestFit="1" customWidth="1"/>
    <col min="9" max="9" width="6.375" bestFit="1" customWidth="1"/>
  </cols>
  <sheetData>
    <row r="3" spans="2:9" x14ac:dyDescent="0.2">
      <c r="B3" s="1" t="s">
        <v>1</v>
      </c>
      <c r="C3" s="2">
        <v>0.52638888888888891</v>
      </c>
      <c r="D3" s="2">
        <v>0.62430555555555556</v>
      </c>
      <c r="E3" s="2">
        <v>0.63472222222222219</v>
      </c>
      <c r="F3" s="2">
        <v>0.64513888888888882</v>
      </c>
      <c r="G3" s="2">
        <v>0.6479166666666667</v>
      </c>
      <c r="H3" s="2">
        <v>0.66111111111111109</v>
      </c>
      <c r="I3" s="2">
        <v>0.70347222222222217</v>
      </c>
    </row>
    <row r="4" spans="2:9" x14ac:dyDescent="0.2">
      <c r="B4" s="3" t="s">
        <v>0</v>
      </c>
      <c r="C4" s="4">
        <v>629.66</v>
      </c>
      <c r="D4" s="4">
        <v>629.95000000000005</v>
      </c>
      <c r="E4" s="4">
        <v>629.98</v>
      </c>
      <c r="F4" s="4">
        <v>630.01</v>
      </c>
      <c r="G4" s="4">
        <v>630.02</v>
      </c>
      <c r="H4" s="4">
        <v>630.05999999999995</v>
      </c>
      <c r="I4" s="4">
        <v>630.19000000000005</v>
      </c>
    </row>
    <row r="5" spans="2:9" x14ac:dyDescent="0.2">
      <c r="B5" s="3" t="s">
        <v>8</v>
      </c>
      <c r="C5" s="4">
        <v>7396039</v>
      </c>
      <c r="D5" s="4">
        <v>7399198.5999999996</v>
      </c>
      <c r="E5" s="4">
        <v>7399564.2000000002</v>
      </c>
      <c r="F5" s="4">
        <v>7399925.2999999998</v>
      </c>
      <c r="G5" s="4">
        <v>7400036.5999999996</v>
      </c>
      <c r="H5" s="4">
        <v>7400442.0999999996</v>
      </c>
      <c r="I5" s="4">
        <v>7401833</v>
      </c>
    </row>
    <row r="6" spans="2:9" ht="24" x14ac:dyDescent="0.2">
      <c r="B6" s="3" t="s">
        <v>2</v>
      </c>
      <c r="C6" s="4"/>
      <c r="D6" s="4">
        <f>(D4-C4)*12000</f>
        <v>3480.0000000009277</v>
      </c>
      <c r="E6" s="4">
        <f>(E4-C4)*12000</f>
        <v>3840.0000000006003</v>
      </c>
      <c r="F6" s="4">
        <f>(F4-C4)*12000</f>
        <v>4200.0000000002728</v>
      </c>
      <c r="G6" s="4">
        <f>(G4-C4)*12000</f>
        <v>4320.0000000001637</v>
      </c>
      <c r="H6" s="4">
        <f>(H4-C4)*12000</f>
        <v>4799.9999999997272</v>
      </c>
      <c r="I6" s="4">
        <f>(I4-C4)*12000</f>
        <v>6360.0000000010368</v>
      </c>
    </row>
    <row r="7" spans="2:9" x14ac:dyDescent="0.2">
      <c r="B7" s="3" t="s">
        <v>7</v>
      </c>
      <c r="C7" s="4"/>
      <c r="D7" s="4">
        <f>D5-C5</f>
        <v>3159.5999999996275</v>
      </c>
      <c r="E7" s="4">
        <f>E5-C5</f>
        <v>3525.2000000001863</v>
      </c>
      <c r="F7" s="4">
        <f>F5-C5</f>
        <v>3886.2999999998137</v>
      </c>
      <c r="G7" s="4">
        <f>G5-C5</f>
        <v>3997.5999999996275</v>
      </c>
      <c r="H7" s="4">
        <f>H5-C5</f>
        <v>4403.0999999996275</v>
      </c>
      <c r="I7" s="4">
        <f>I5-C5</f>
        <v>5794</v>
      </c>
    </row>
    <row r="8" spans="2:9" x14ac:dyDescent="0.2">
      <c r="B8" s="3" t="s">
        <v>4</v>
      </c>
      <c r="C8" s="4"/>
      <c r="D8" s="4">
        <f>D6-D7</f>
        <v>320.40000000130021</v>
      </c>
      <c r="E8" s="4">
        <f t="shared" ref="E8:I8" si="0">E6-E7</f>
        <v>314.800000000414</v>
      </c>
      <c r="F8" s="4">
        <f t="shared" si="0"/>
        <v>313.70000000045911</v>
      </c>
      <c r="G8" s="4">
        <f t="shared" si="0"/>
        <v>322.40000000053624</v>
      </c>
      <c r="H8" s="4">
        <f t="shared" si="0"/>
        <v>396.90000000009968</v>
      </c>
      <c r="I8" s="4">
        <f t="shared" si="0"/>
        <v>566.00000000103682</v>
      </c>
    </row>
    <row r="9" spans="2:9" x14ac:dyDescent="0.2">
      <c r="B9" s="3" t="s">
        <v>5</v>
      </c>
      <c r="C9" s="4"/>
      <c r="D9" s="5">
        <f>D8/D6</f>
        <v>9.2068965517590459E-2</v>
      </c>
      <c r="E9" s="5">
        <f t="shared" ref="E9:I9" si="1">E8/E6</f>
        <v>8.1979166666761666E-2</v>
      </c>
      <c r="F9" s="5">
        <f t="shared" si="1"/>
        <v>7.4690476190580654E-2</v>
      </c>
      <c r="G9" s="5">
        <f t="shared" si="1"/>
        <v>7.4629629629750935E-2</v>
      </c>
      <c r="H9" s="5">
        <f t="shared" si="1"/>
        <v>8.2687500000025463E-2</v>
      </c>
      <c r="I9" s="5">
        <f t="shared" si="1"/>
        <v>8.8993710691972414E-2</v>
      </c>
    </row>
    <row r="10" spans="2:9" x14ac:dyDescent="0.2">
      <c r="B10" s="3"/>
      <c r="C10" s="4"/>
      <c r="D10" s="4"/>
      <c r="E10" s="4"/>
      <c r="F10" s="4"/>
      <c r="G10" s="4"/>
      <c r="H10" s="4"/>
      <c r="I10" s="4"/>
    </row>
    <row r="11" spans="2:9" ht="24" x14ac:dyDescent="0.2">
      <c r="B11" s="3" t="s">
        <v>6</v>
      </c>
      <c r="C11" s="4"/>
      <c r="D11" s="4"/>
      <c r="E11" s="6">
        <f>(E4-D4)*12000</f>
        <v>359.99999999967258</v>
      </c>
      <c r="F11" s="6">
        <f>(F4-D4)*12000</f>
        <v>719.99999999934516</v>
      </c>
      <c r="G11" s="6">
        <f>(G4-D4)*12000</f>
        <v>839.99999999923602</v>
      </c>
      <c r="H11" s="4">
        <f>(H4-D4)*12000</f>
        <v>1319.9999999987995</v>
      </c>
      <c r="I11" s="4">
        <f>(I4-D4)*12000</f>
        <v>2880.0000000001091</v>
      </c>
    </row>
    <row r="12" spans="2:9" ht="24" x14ac:dyDescent="0.2">
      <c r="B12" s="3" t="s">
        <v>9</v>
      </c>
      <c r="C12" s="4"/>
      <c r="D12" s="4"/>
      <c r="E12" s="6">
        <f>E7-D7</f>
        <v>365.60000000055879</v>
      </c>
      <c r="F12" s="6">
        <f>F7-D7</f>
        <v>726.70000000018626</v>
      </c>
      <c r="G12" s="6">
        <f>G7-D7</f>
        <v>838</v>
      </c>
      <c r="H12" s="4">
        <f>H7-D7</f>
        <v>1243.5</v>
      </c>
      <c r="I12" s="4">
        <f>I7-D7</f>
        <v>2634.4000000003725</v>
      </c>
    </row>
    <row r="13" spans="2:9" x14ac:dyDescent="0.2">
      <c r="B13" s="3" t="s">
        <v>3</v>
      </c>
      <c r="C13" s="4"/>
      <c r="D13" s="4"/>
      <c r="E13" s="8">
        <f>E11-E12</f>
        <v>-5.6000000008862116</v>
      </c>
      <c r="F13" s="8">
        <f t="shared" ref="F13:I13" si="2">F11-F12</f>
        <v>-6.7000000008411007</v>
      </c>
      <c r="G13" s="7">
        <f t="shared" si="2"/>
        <v>1.9999999992360245</v>
      </c>
      <c r="H13" s="4">
        <f t="shared" si="2"/>
        <v>76.499999998799467</v>
      </c>
      <c r="I13" s="4">
        <f t="shared" si="2"/>
        <v>245.59999999973661</v>
      </c>
    </row>
    <row r="14" spans="2:9" x14ac:dyDescent="0.2">
      <c r="B14" s="3"/>
      <c r="C14" s="4"/>
      <c r="D14" s="4"/>
      <c r="E14" s="5">
        <f>E13/E11</f>
        <v>-1.5555555558031403E-2</v>
      </c>
      <c r="F14" s="5">
        <f t="shared" ref="F14:I14" si="3">F13/F11</f>
        <v>-9.3055555567322142E-3</v>
      </c>
      <c r="G14" s="5">
        <f t="shared" si="3"/>
        <v>2.3809523800450518E-3</v>
      </c>
      <c r="H14" s="5">
        <f t="shared" si="3"/>
        <v>5.7954545453688666E-2</v>
      </c>
      <c r="I14" s="5">
        <f t="shared" si="3"/>
        <v>8.5277777777683098E-2</v>
      </c>
    </row>
    <row r="17" spans="1:14" x14ac:dyDescent="0.2">
      <c r="B17" t="s">
        <v>23</v>
      </c>
      <c r="C17" t="s">
        <v>14</v>
      </c>
      <c r="D17" t="s">
        <v>15</v>
      </c>
      <c r="E17" t="s">
        <v>18</v>
      </c>
    </row>
    <row r="18" spans="1:14" x14ac:dyDescent="0.2">
      <c r="B18" t="s">
        <v>10</v>
      </c>
      <c r="C18" t="s">
        <v>11</v>
      </c>
      <c r="D18">
        <v>361.1</v>
      </c>
    </row>
    <row r="19" spans="1:14" x14ac:dyDescent="0.2">
      <c r="C19" t="s">
        <v>12</v>
      </c>
      <c r="D19">
        <v>24.07</v>
      </c>
    </row>
    <row r="20" spans="1:14" x14ac:dyDescent="0.2">
      <c r="C20" t="s">
        <v>13</v>
      </c>
      <c r="D20" s="9">
        <v>2.8999999999999998E-3</v>
      </c>
    </row>
    <row r="21" spans="1:14" x14ac:dyDescent="0.2">
      <c r="C21" s="11" t="s">
        <v>19</v>
      </c>
      <c r="D21" s="12" t="s">
        <v>21</v>
      </c>
    </row>
    <row r="23" spans="1:14" x14ac:dyDescent="0.2">
      <c r="B23" t="s">
        <v>16</v>
      </c>
      <c r="C23" t="s">
        <v>14</v>
      </c>
      <c r="D23" t="s">
        <v>24</v>
      </c>
      <c r="E23" t="s">
        <v>22</v>
      </c>
    </row>
    <row r="24" spans="1:14" x14ac:dyDescent="0.2">
      <c r="B24" t="s">
        <v>17</v>
      </c>
      <c r="C24" t="s">
        <v>11</v>
      </c>
      <c r="D24">
        <v>405.5</v>
      </c>
    </row>
    <row r="25" spans="1:14" x14ac:dyDescent="0.2">
      <c r="C25" t="s">
        <v>12</v>
      </c>
      <c r="D25">
        <v>21.34</v>
      </c>
    </row>
    <row r="26" spans="1:14" x14ac:dyDescent="0.2">
      <c r="C26" t="s">
        <v>13</v>
      </c>
      <c r="D26" s="10">
        <v>4.2000000000000003E-2</v>
      </c>
    </row>
    <row r="27" spans="1:14" x14ac:dyDescent="0.2">
      <c r="C27" s="11" t="s">
        <v>19</v>
      </c>
      <c r="D27" s="12" t="s">
        <v>20</v>
      </c>
    </row>
    <row r="28" spans="1:14" ht="77.25" customHeight="1" x14ac:dyDescent="0.2">
      <c r="A28" s="14" t="s">
        <v>47</v>
      </c>
      <c r="B28" s="13"/>
      <c r="C28" s="13"/>
      <c r="D28" s="13"/>
      <c r="E28" s="13"/>
      <c r="F28" s="13"/>
      <c r="G28" s="13"/>
      <c r="H28" s="13"/>
      <c r="I28" s="13"/>
    </row>
    <row r="29" spans="1:14" x14ac:dyDescent="0.2">
      <c r="A29" s="14" t="s">
        <v>48</v>
      </c>
      <c r="B29" s="13"/>
      <c r="C29" s="13"/>
      <c r="D29" s="13"/>
      <c r="E29" s="13"/>
      <c r="F29" s="13"/>
      <c r="G29" s="13"/>
      <c r="H29" s="13"/>
      <c r="I29" s="13"/>
      <c r="K29" s="15" t="s">
        <v>25</v>
      </c>
      <c r="L29" s="15" t="s">
        <v>26</v>
      </c>
      <c r="M29" s="15" t="s">
        <v>27</v>
      </c>
      <c r="N29" s="15" t="s">
        <v>28</v>
      </c>
    </row>
    <row r="30" spans="1:14" x14ac:dyDescent="0.2">
      <c r="A30" s="13"/>
      <c r="B30" s="13"/>
      <c r="C30" s="13"/>
      <c r="D30" s="13"/>
      <c r="E30" s="13"/>
      <c r="F30" s="13"/>
      <c r="G30" s="13"/>
      <c r="H30" s="13"/>
      <c r="I30" s="13"/>
      <c r="K30" s="15"/>
      <c r="L30" s="15">
        <v>6000</v>
      </c>
      <c r="M30" s="15"/>
      <c r="N30" s="15"/>
    </row>
    <row r="31" spans="1:14" x14ac:dyDescent="0.2">
      <c r="A31" s="13"/>
      <c r="B31" s="13"/>
      <c r="C31" s="13"/>
      <c r="D31" s="13"/>
      <c r="E31" s="13"/>
      <c r="F31" s="13"/>
      <c r="G31" s="13"/>
      <c r="H31" s="13"/>
      <c r="I31" s="13"/>
      <c r="K31" s="15" t="s">
        <v>29</v>
      </c>
      <c r="L31" s="15" t="s">
        <v>30</v>
      </c>
      <c r="M31" s="15" t="s">
        <v>31</v>
      </c>
      <c r="N31" s="15" t="s">
        <v>32</v>
      </c>
    </row>
    <row r="32" spans="1:14" x14ac:dyDescent="0.2">
      <c r="A32" s="13"/>
      <c r="B32" s="13"/>
      <c r="C32" s="13"/>
      <c r="D32" s="13"/>
      <c r="E32" s="13"/>
      <c r="F32" s="13"/>
      <c r="G32" s="13"/>
      <c r="H32" s="13"/>
      <c r="I32" s="13"/>
      <c r="K32" s="15"/>
      <c r="L32" s="15">
        <v>86</v>
      </c>
      <c r="M32" s="15">
        <v>84.625</v>
      </c>
      <c r="N32" s="15">
        <v>84.75</v>
      </c>
    </row>
    <row r="33" spans="1:14" x14ac:dyDescent="0.2">
      <c r="A33" s="13"/>
      <c r="B33" s="13"/>
      <c r="C33" s="13"/>
      <c r="D33" s="13"/>
      <c r="E33" s="13"/>
      <c r="F33" s="13"/>
      <c r="G33" s="13"/>
      <c r="H33" s="13"/>
      <c r="I33" s="13"/>
      <c r="K33" s="15" t="s">
        <v>33</v>
      </c>
      <c r="L33" s="15" t="s">
        <v>34</v>
      </c>
      <c r="M33" s="15" t="s">
        <v>35</v>
      </c>
      <c r="N33" s="15" t="s">
        <v>36</v>
      </c>
    </row>
    <row r="34" spans="1:14" x14ac:dyDescent="0.2">
      <c r="A34" s="13"/>
      <c r="B34" s="13"/>
      <c r="C34" s="13"/>
      <c r="D34" s="13"/>
      <c r="E34" s="13"/>
      <c r="F34" s="13"/>
      <c r="G34" s="13"/>
      <c r="H34" s="13"/>
      <c r="I34" s="13"/>
      <c r="K34" s="15">
        <v>1337000</v>
      </c>
      <c r="L34" s="15">
        <v>450935</v>
      </c>
      <c r="M34" s="15">
        <v>444990</v>
      </c>
      <c r="N34" s="15">
        <v>441542</v>
      </c>
    </row>
    <row r="35" spans="1:14" x14ac:dyDescent="0.2">
      <c r="A35" s="13"/>
      <c r="B35" s="13"/>
      <c r="C35" s="13"/>
      <c r="D35" s="13"/>
      <c r="E35" s="13"/>
      <c r="F35" s="13"/>
      <c r="G35" s="13"/>
      <c r="H35" s="13"/>
      <c r="I35" s="13"/>
      <c r="K35" s="15" t="s">
        <v>37</v>
      </c>
      <c r="L35" s="15" t="s">
        <v>39</v>
      </c>
      <c r="M35" s="15" t="s">
        <v>41</v>
      </c>
      <c r="N35" s="15" t="s">
        <v>42</v>
      </c>
    </row>
    <row r="36" spans="1:14" x14ac:dyDescent="0.2">
      <c r="A36" s="13"/>
      <c r="B36" s="13"/>
      <c r="C36" s="13"/>
      <c r="D36" s="13"/>
      <c r="E36" s="13"/>
      <c r="F36" s="13"/>
      <c r="G36" s="13"/>
      <c r="H36" s="13"/>
      <c r="I36" s="13"/>
      <c r="K36" s="15">
        <v>445287</v>
      </c>
      <c r="L36" s="15">
        <v>146309</v>
      </c>
      <c r="M36" s="15">
        <v>152551</v>
      </c>
      <c r="N36" s="15">
        <v>146427</v>
      </c>
    </row>
    <row r="37" spans="1:14" x14ac:dyDescent="0.2">
      <c r="A37" s="13"/>
      <c r="B37" s="13"/>
      <c r="C37" s="13"/>
      <c r="D37" s="13"/>
      <c r="E37" s="13"/>
      <c r="F37" s="13"/>
      <c r="G37" s="13"/>
      <c r="H37" s="13"/>
      <c r="I37" s="13"/>
      <c r="K37" s="15" t="s">
        <v>38</v>
      </c>
      <c r="L37" s="15" t="s">
        <v>40</v>
      </c>
      <c r="M37" s="15" t="s">
        <v>43</v>
      </c>
      <c r="N37" s="15" t="s">
        <v>44</v>
      </c>
    </row>
    <row r="38" spans="1:14" x14ac:dyDescent="0.2">
      <c r="A38" s="13"/>
      <c r="B38" s="13"/>
      <c r="C38" s="13"/>
      <c r="D38" s="13"/>
      <c r="E38" s="13"/>
      <c r="F38" s="13"/>
      <c r="G38" s="13"/>
      <c r="H38" s="13"/>
      <c r="I38" s="13"/>
      <c r="J38" t="s">
        <v>45</v>
      </c>
      <c r="K38" s="15">
        <v>1505000</v>
      </c>
      <c r="L38" s="15">
        <v>505534</v>
      </c>
      <c r="M38" s="15">
        <v>496838</v>
      </c>
      <c r="N38" s="15">
        <v>497643</v>
      </c>
    </row>
    <row r="39" spans="1:14" x14ac:dyDescent="0.2">
      <c r="A39" s="13"/>
      <c r="B39" s="13"/>
      <c r="C39" s="13"/>
      <c r="D39" s="13"/>
      <c r="E39" s="13"/>
      <c r="F39" s="13"/>
      <c r="G39" s="13"/>
      <c r="H39" s="13"/>
      <c r="I39" s="13"/>
      <c r="J39" t="s">
        <v>46</v>
      </c>
      <c r="K39">
        <f>SQRT(K34*K34+K36*K36)</f>
        <v>1409201.7287702283</v>
      </c>
      <c r="L39">
        <f t="shared" ref="L39:N39" si="4">SQRT(L34*L34+L36*L36)</f>
        <v>474076.6791416764</v>
      </c>
      <c r="M39">
        <f t="shared" si="4"/>
        <v>470412.48676135286</v>
      </c>
      <c r="N39">
        <f t="shared" si="4"/>
        <v>465188.35335055413</v>
      </c>
    </row>
    <row r="40" spans="1:14" x14ac:dyDescent="0.2">
      <c r="A40" s="13"/>
      <c r="B40" s="13"/>
      <c r="C40" s="13"/>
      <c r="D40" s="13"/>
      <c r="E40" s="13"/>
      <c r="F40" s="13"/>
      <c r="G40" s="13"/>
      <c r="H40" s="13"/>
      <c r="I40" s="13"/>
    </row>
    <row r="41" spans="1:14" x14ac:dyDescent="0.2">
      <c r="A41" s="13"/>
      <c r="B41" s="13"/>
      <c r="C41" s="13"/>
      <c r="D41" s="13"/>
      <c r="E41" s="13"/>
      <c r="F41" s="13"/>
      <c r="G41" s="13"/>
      <c r="H41" s="13"/>
      <c r="I41" s="13"/>
    </row>
    <row r="42" spans="1:14" x14ac:dyDescent="0.2">
      <c r="A42" s="13"/>
      <c r="B42" s="13"/>
      <c r="C42" s="13"/>
      <c r="D42" s="13"/>
      <c r="E42" s="13"/>
      <c r="F42" s="13"/>
      <c r="G42" s="13"/>
      <c r="H42" s="13"/>
      <c r="I42" s="13"/>
    </row>
    <row r="43" spans="1:14" x14ac:dyDescent="0.2">
      <c r="A43" s="13"/>
      <c r="B43" s="13"/>
      <c r="C43" s="13"/>
      <c r="D43" s="13"/>
      <c r="E43" s="13"/>
      <c r="F43" s="13"/>
      <c r="G43" s="13"/>
      <c r="H43" s="13"/>
      <c r="I43" s="13"/>
    </row>
    <row r="44" spans="1:14" ht="316.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</row>
  </sheetData>
  <mergeCells count="2">
    <mergeCell ref="A29:I44"/>
    <mergeCell ref="A28:I28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ACCU-xuebo</dc:creator>
  <cp:lastModifiedBy>Fcaw</cp:lastModifiedBy>
  <dcterms:created xsi:type="dcterms:W3CDTF">2015-06-05T18:19:34Z</dcterms:created>
  <dcterms:modified xsi:type="dcterms:W3CDTF">2020-04-29T09:40:59Z</dcterms:modified>
</cp:coreProperties>
</file>