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565" tabRatio="600" firstSheet="0" activeTab="1" autoFilterDateGrouping="1"/>
  </bookViews>
  <sheets>
    <sheet xmlns:r="http://schemas.openxmlformats.org/officeDocument/2006/relationships" name="1-卡片总览" sheetId="1" state="visible" r:id="rId1"/>
    <sheet xmlns:r="http://schemas.openxmlformats.org/officeDocument/2006/relationships" name="2-年费追踪" sheetId="2" state="visible" r:id="rId2"/>
    <sheet xmlns:r="http://schemas.openxmlformats.org/officeDocument/2006/relationships" name="3-0账单日历" sheetId="3" state="visible" r:id="rId3"/>
    <sheet xmlns:r="http://schemas.openxmlformats.org/officeDocument/2006/relationships" name="4-权益变现" sheetId="4" state="visible" r:id="rId4"/>
    <sheet xmlns:r="http://schemas.openxmlformats.org/officeDocument/2006/relationships" name="5-活动与券" sheetId="5" state="visible" r:id="rId5"/>
    <sheet xmlns:r="http://schemas.openxmlformats.org/officeDocument/2006/relationships" name="6-收支总账" sheetId="6" state="visible" r:id="rId6"/>
    <sheet xmlns:r="http://schemas.openxmlformats.org/officeDocument/2006/relationships" name="7-积分余额" sheetId="7" state="visible" r:id="rId7"/>
    <sheet xmlns:r="http://schemas.openxmlformats.org/officeDocument/2006/relationships" name="日常记录" sheetId="8" state="visible" r:id="rId8"/>
  </sheets>
  <definedNames>
    <definedName name="_xlnm._FilterDatabase" localSheetId="0" hidden="1">'1-卡片总览'!$A$2:$M$19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i val="1"/>
      <color rgb="FF808080"/>
      <sz val="9"/>
    </font>
    <font>
      <name val="微软雅黑"/>
      <charset val="134"/>
      <family val="2"/>
      <b val="1"/>
      <color rgb="FFBF8F00"/>
      <sz val="11"/>
    </font>
    <font>
      <name val="微软雅黑"/>
      <charset val="134"/>
      <family val="2"/>
      <b val="1"/>
      <color rgb="FF006100"/>
      <sz val="11"/>
    </font>
    <font>
      <name val="宋体"/>
      <charset val="134"/>
      <family val="3"/>
      <sz val="9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</cellXfs>
  <cellStyles count="1">
    <cellStyle name="常规" xfId="0" builtinId="0"/>
  </cellStyles>
  <dxfs count="1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5" sqref="A5:XFD5"/>
    </sheetView>
  </sheetViews>
  <sheetFormatPr baseColWidth="8" defaultRowHeight="13.5"/>
  <cols>
    <col width="5" customWidth="1" style="13" min="1" max="1"/>
    <col width="8" customWidth="1" style="13" min="2" max="2"/>
    <col width="12" customWidth="1" style="13" min="3" max="3"/>
    <col width="10" customWidth="1" style="13" min="4" max="6"/>
    <col width="7" customWidth="1" style="13" min="7" max="7"/>
    <col width="9" customWidth="1" style="13" min="8" max="8"/>
    <col width="10" customWidth="1" style="13" min="9" max="9"/>
    <col width="14" customWidth="1" style="13" min="10" max="10"/>
    <col width="10" customWidth="1" style="13" min="11" max="12"/>
    <col width="18" customWidth="1" style="13" min="13" max="13"/>
  </cols>
  <sheetData>
    <row r="1" ht="30" customHeight="1" s="13">
      <c r="A1" s="14" t="inlineStr">
        <is>
          <t>信用卡卡片总览 — 韩伟</t>
        </is>
      </c>
    </row>
    <row r="2" ht="24.95" customHeight="1" s="13">
      <c r="A2" s="1" t="inlineStr">
        <is>
          <t>序号</t>
        </is>
      </c>
      <c r="B2" s="1" t="inlineStr">
        <is>
          <t>银行</t>
        </is>
      </c>
      <c r="C2" s="1" t="inlineStr">
        <is>
          <t>卡种</t>
        </is>
      </c>
      <c r="D2" s="1" t="inlineStr">
        <is>
          <t>卡号后4位</t>
        </is>
      </c>
      <c r="E2" s="1" t="inlineStr">
        <is>
          <t>申卡额度</t>
        </is>
      </c>
      <c r="F2" s="1" t="inlineStr">
        <is>
          <t>当前额度</t>
        </is>
      </c>
      <c r="G2" s="1" t="inlineStr">
        <is>
          <t>账单日</t>
        </is>
      </c>
      <c r="H2" s="1" t="inlineStr">
        <is>
          <t>年费(元)</t>
        </is>
      </c>
      <c r="I2" s="1" t="inlineStr">
        <is>
          <t>年费类型</t>
        </is>
      </c>
      <c r="J2" s="1" t="inlineStr">
        <is>
          <t>减免条件</t>
        </is>
      </c>
      <c r="K2" s="1" t="inlineStr">
        <is>
          <t>年费到期月</t>
        </is>
      </c>
      <c r="L2" s="1" t="inlineStr">
        <is>
          <t>26年状态</t>
        </is>
      </c>
      <c r="M2" s="1" t="inlineStr">
        <is>
          <t>备注</t>
        </is>
      </c>
    </row>
    <row r="3" ht="16.5" customHeight="1" s="13">
      <c r="A3" s="16" t="n">
        <v>1</v>
      </c>
      <c r="B3" s="16" t="inlineStr">
        <is>
          <t>兴业</t>
        </is>
      </c>
      <c r="C3" s="16" t="inlineStr">
        <is>
          <t>行悠白</t>
        </is>
      </c>
      <c r="D3" s="16" t="inlineStr">
        <is>
          <t>—</t>
        </is>
      </c>
      <c r="E3" s="3" t="n">
        <v>78000</v>
      </c>
      <c r="F3" s="3" t="n">
        <v>78000</v>
      </c>
      <c r="G3" s="16" t="inlineStr">
        <is>
          <t>5日</t>
        </is>
      </c>
      <c r="H3" s="16" t="n">
        <v>900</v>
      </c>
      <c r="I3" s="16" t="inlineStr">
        <is>
          <t>刚性</t>
        </is>
      </c>
      <c r="J3" s="16" t="inlineStr">
        <is>
          <t>—</t>
        </is>
      </c>
      <c r="K3" s="16" t="inlineStr">
        <is>
          <t>8月</t>
        </is>
      </c>
      <c r="L3" s="16" t="inlineStr">
        <is>
          <t>⚠️进行中</t>
        </is>
      </c>
      <c r="M3" s="16" t="inlineStr">
        <is>
          <t>尝试打电话减免</t>
        </is>
      </c>
    </row>
    <row r="4" ht="16.5" customHeight="1" s="13">
      <c r="A4" s="16" t="n">
        <v>2</v>
      </c>
      <c r="B4" s="16" t="inlineStr">
        <is>
          <t>平安</t>
        </is>
      </c>
      <c r="C4" s="16" t="inlineStr">
        <is>
          <t>精英白</t>
        </is>
      </c>
      <c r="D4" s="16" t="inlineStr">
        <is>
          <t>—</t>
        </is>
      </c>
      <c r="E4" s="3" t="n">
        <v>30000</v>
      </c>
      <c r="F4" s="3" t="n">
        <v>45000</v>
      </c>
      <c r="G4" s="16" t="inlineStr">
        <is>
          <t>7日</t>
        </is>
      </c>
      <c r="H4" s="16" t="n">
        <v>0</v>
      </c>
      <c r="I4" s="16" t="inlineStr">
        <is>
          <t>消费额度</t>
        </is>
      </c>
      <c r="J4" s="16" t="inlineStr">
        <is>
          <t>消费12W</t>
        </is>
      </c>
      <c r="K4" s="16" t="inlineStr">
        <is>
          <t>8月</t>
        </is>
      </c>
      <c r="L4" s="16" t="inlineStr">
        <is>
          <t>⚠️进行中</t>
        </is>
      </c>
      <c r="M4" s="16" t="inlineStr">
        <is>
          <t>几乎不用担心</t>
        </is>
      </c>
    </row>
    <row r="5" ht="16.5" customHeight="1" s="13">
      <c r="A5" s="16" t="n">
        <v>3</v>
      </c>
      <c r="B5" s="16" t="inlineStr">
        <is>
          <t>宁波</t>
        </is>
      </c>
      <c r="C5" s="16" t="inlineStr">
        <is>
          <t>菁英卡</t>
        </is>
      </c>
      <c r="D5" s="16" t="inlineStr">
        <is>
          <t>—</t>
        </is>
      </c>
      <c r="E5" s="3" t="n">
        <v>100000</v>
      </c>
      <c r="F5" s="3" t="n">
        <v>100000</v>
      </c>
      <c r="G5" s="16" t="inlineStr">
        <is>
          <t>8日</t>
        </is>
      </c>
      <c r="H5" s="16" t="n">
        <v>0</v>
      </c>
      <c r="I5" s="16" t="inlineStr">
        <is>
          <t>消费额度</t>
        </is>
      </c>
      <c r="J5" s="16" t="inlineStr">
        <is>
          <t>消费18W</t>
        </is>
      </c>
      <c r="K5" s="16" t="inlineStr">
        <is>
          <t>—</t>
        </is>
      </c>
      <c r="L5" s="16" t="inlineStr">
        <is>
          <t>⚠️进行中</t>
        </is>
      </c>
      <c r="M5" s="16" t="inlineStr">
        <is>
          <t>年费1800元</t>
        </is>
      </c>
    </row>
    <row r="6" ht="16.5" customHeight="1" s="13">
      <c r="A6" s="16" t="n">
        <v>4</v>
      </c>
      <c r="B6" s="16" t="inlineStr">
        <is>
          <t>农行</t>
        </is>
      </c>
      <c r="C6" s="16" t="inlineStr">
        <is>
          <t>精粹白</t>
        </is>
      </c>
      <c r="D6" s="16" t="inlineStr">
        <is>
          <t>—</t>
        </is>
      </c>
      <c r="E6" s="3" t="n">
        <v>80000</v>
      </c>
      <c r="F6" s="3" t="n">
        <v>90000</v>
      </c>
      <c r="G6" s="16" t="inlineStr">
        <is>
          <t>10日</t>
        </is>
      </c>
      <c r="H6" s="16" t="n">
        <v>0</v>
      </c>
      <c r="I6" s="16" t="inlineStr">
        <is>
          <t>刷卡笔数</t>
        </is>
      </c>
      <c r="J6" s="16" t="inlineStr">
        <is>
          <t>30笔</t>
        </is>
      </c>
      <c r="K6" s="16" t="inlineStr">
        <is>
          <t>—</t>
        </is>
      </c>
      <c r="L6" s="16" t="inlineStr">
        <is>
          <t>⚠️未完成</t>
        </is>
      </c>
      <c r="M6" s="16" t="inlineStr">
        <is>
          <t>需买5倍积分包</t>
        </is>
      </c>
    </row>
    <row r="7" ht="16.5" customHeight="1" s="13">
      <c r="A7" s="16" t="n">
        <v>5</v>
      </c>
      <c r="B7" s="16" t="inlineStr">
        <is>
          <t>交通</t>
        </is>
      </c>
      <c r="C7" s="16" t="inlineStr">
        <is>
          <t>东航航空卡</t>
        </is>
      </c>
      <c r="D7" s="16" t="inlineStr">
        <is>
          <t>—</t>
        </is>
      </c>
      <c r="E7" s="3" t="n">
        <v>41000</v>
      </c>
      <c r="F7" s="3" t="n">
        <v>59000</v>
      </c>
      <c r="G7" s="16" t="inlineStr">
        <is>
          <t>13日</t>
        </is>
      </c>
      <c r="H7" s="16" t="n">
        <v>500</v>
      </c>
      <c r="I7" s="16" t="inlineStr">
        <is>
          <t>刚性</t>
        </is>
      </c>
      <c r="J7" s="16" t="inlineStr">
        <is>
          <t>—</t>
        </is>
      </c>
      <c r="K7" s="16" t="inlineStr">
        <is>
          <t>12月</t>
        </is>
      </c>
      <c r="L7" s="16" t="inlineStr">
        <is>
          <t>⚠️进行中</t>
        </is>
      </c>
      <c r="M7" s="16" t="inlineStr">
        <is>
          <t>可申请减半</t>
        </is>
      </c>
    </row>
    <row r="8" ht="16.5" customHeight="1" s="13">
      <c r="A8" s="16" t="n">
        <v>6</v>
      </c>
      <c r="B8" s="16" t="inlineStr">
        <is>
          <t>招商</t>
        </is>
      </c>
      <c r="C8" s="16" t="inlineStr">
        <is>
          <t>飞鸟白</t>
        </is>
      </c>
      <c r="D8" s="16" t="inlineStr">
        <is>
          <t>—</t>
        </is>
      </c>
      <c r="E8" s="3" t="n">
        <v>65000</v>
      </c>
      <c r="F8" s="3" t="n">
        <v>102000</v>
      </c>
      <c r="G8" s="16" t="inlineStr">
        <is>
          <t>15日</t>
        </is>
      </c>
      <c r="H8" s="16" t="n">
        <v>0</v>
      </c>
      <c r="I8" s="16" t="inlineStr">
        <is>
          <t>消费额度</t>
        </is>
      </c>
      <c r="J8" s="16" t="inlineStr">
        <is>
          <t>消费8W</t>
        </is>
      </c>
      <c r="K8" s="16" t="inlineStr">
        <is>
          <t>8月</t>
        </is>
      </c>
      <c r="L8" s="16" t="inlineStr">
        <is>
          <t>⚠️进行中</t>
        </is>
      </c>
      <c r="M8" s="16" t="inlineStr">
        <is>
          <t>账单日实际16号</t>
        </is>
      </c>
    </row>
    <row r="9" ht="16.5" customHeight="1" s="13">
      <c r="A9" s="16" t="n">
        <v>7</v>
      </c>
      <c r="B9" s="16" t="inlineStr">
        <is>
          <t>中信</t>
        </is>
      </c>
      <c r="C9" s="16" t="inlineStr">
        <is>
          <t>南航航空卡</t>
        </is>
      </c>
      <c r="D9" s="16" t="inlineStr">
        <is>
          <t>—</t>
        </is>
      </c>
      <c r="E9" s="3" t="n">
        <v>80000</v>
      </c>
      <c r="F9" s="3" t="n">
        <v>80000</v>
      </c>
      <c r="G9" s="16" t="inlineStr">
        <is>
          <t>17日</t>
        </is>
      </c>
      <c r="H9" s="16" t="n">
        <v>480</v>
      </c>
      <c r="I9" s="16" t="inlineStr">
        <is>
          <t>刚性</t>
        </is>
      </c>
      <c r="J9" s="16" t="inlineStr">
        <is>
          <t>—</t>
        </is>
      </c>
      <c r="K9" s="16" t="inlineStr">
        <is>
          <t>4月</t>
        </is>
      </c>
      <c r="L9" s="16" t="inlineStr">
        <is>
          <t>✅已扣</t>
        </is>
      </c>
      <c r="M9" s="16" t="n"/>
    </row>
    <row r="10" ht="16.5" customHeight="1" s="13">
      <c r="A10" s="16" t="n">
        <v>8</v>
      </c>
      <c r="B10" s="16" t="inlineStr">
        <is>
          <t>民生</t>
        </is>
      </c>
      <c r="C10" s="16" t="inlineStr">
        <is>
          <t>百夫长</t>
        </is>
      </c>
      <c r="D10" s="16" t="inlineStr">
        <is>
          <t>—</t>
        </is>
      </c>
      <c r="E10" s="3" t="n">
        <v>50000</v>
      </c>
      <c r="F10" s="3" t="n">
        <v>60000</v>
      </c>
      <c r="G10" s="16" t="inlineStr">
        <is>
          <t>19日</t>
        </is>
      </c>
      <c r="H10" s="16" t="n">
        <v>0</v>
      </c>
      <c r="I10" s="16" t="inlineStr">
        <is>
          <t>积分抵扣</t>
        </is>
      </c>
      <c r="J10" s="16" t="inlineStr">
        <is>
          <t>20W积分</t>
        </is>
      </c>
      <c r="K10" s="16" t="inlineStr">
        <is>
          <t>4月</t>
        </is>
      </c>
      <c r="L10" s="16" t="inlineStr">
        <is>
          <t>✅已免</t>
        </is>
      </c>
      <c r="M10" s="16" t="inlineStr">
        <is>
          <t>银行自动抵扣</t>
        </is>
      </c>
    </row>
    <row r="11" ht="16.5" customHeight="1" s="13">
      <c r="A11" s="16" t="n">
        <v>9</v>
      </c>
      <c r="B11" s="16" t="inlineStr">
        <is>
          <t>邮储</t>
        </is>
      </c>
      <c r="C11" s="16" t="inlineStr">
        <is>
          <t>鼎致白</t>
        </is>
      </c>
      <c r="D11" s="16" t="inlineStr">
        <is>
          <t>—</t>
        </is>
      </c>
      <c r="E11" s="3" t="n">
        <v>50000</v>
      </c>
      <c r="F11" s="3" t="n">
        <v>75000</v>
      </c>
      <c r="G11" s="16" t="inlineStr">
        <is>
          <t>20日</t>
        </is>
      </c>
      <c r="H11" s="16" t="n">
        <v>0</v>
      </c>
      <c r="I11" s="16" t="inlineStr">
        <is>
          <t>积分抵扣</t>
        </is>
      </c>
      <c r="J11" s="16" t="inlineStr">
        <is>
          <t>20W积分</t>
        </is>
      </c>
      <c r="K11" s="16" t="inlineStr">
        <is>
          <t>2月</t>
        </is>
      </c>
      <c r="L11" s="16" t="inlineStr">
        <is>
          <t>✅已免</t>
        </is>
      </c>
      <c r="M11" s="16" t="inlineStr">
        <is>
          <t>已抵扣</t>
        </is>
      </c>
    </row>
    <row r="12" ht="16.5" customHeight="1" s="13">
      <c r="A12" s="16" t="n">
        <v>10</v>
      </c>
      <c r="B12" s="16" t="inlineStr">
        <is>
          <t>浦发</t>
        </is>
      </c>
      <c r="C12" s="16" t="inlineStr">
        <is>
          <t>南航航空卡</t>
        </is>
      </c>
      <c r="D12" s="16" t="inlineStr">
        <is>
          <t>—</t>
        </is>
      </c>
      <c r="E12" s="3" t="n">
        <v>50000</v>
      </c>
      <c r="F12" s="3" t="n">
        <v>50000</v>
      </c>
      <c r="G12" s="16" t="inlineStr">
        <is>
          <t>22日</t>
        </is>
      </c>
      <c r="H12" s="16" t="n">
        <v>0</v>
      </c>
      <c r="I12" s="16" t="inlineStr">
        <is>
          <t>消费额度</t>
        </is>
      </c>
      <c r="J12" s="16" t="inlineStr">
        <is>
          <t>消费12W</t>
        </is>
      </c>
      <c r="K12" s="16" t="inlineStr">
        <is>
          <t>—</t>
        </is>
      </c>
      <c r="L12" s="16" t="inlineStr">
        <is>
          <t>⚠️进行中</t>
        </is>
      </c>
      <c r="M12" s="16" t="inlineStr">
        <is>
          <t>—</t>
        </is>
      </c>
    </row>
    <row r="13" ht="16.5" customHeight="1" s="13">
      <c r="A13" s="16" t="n">
        <v>11</v>
      </c>
      <c r="B13" s="16" t="inlineStr">
        <is>
          <t>中国银行</t>
        </is>
      </c>
      <c r="C13" s="16" t="inlineStr">
        <is>
          <t>—</t>
        </is>
      </c>
      <c r="D13" s="16" t="inlineStr">
        <is>
          <t>—</t>
        </is>
      </c>
      <c r="E13" s="3" t="n">
        <v>20000</v>
      </c>
      <c r="F13" s="3" t="n">
        <v>26000</v>
      </c>
      <c r="G13" s="16" t="inlineStr">
        <is>
          <t>22日</t>
        </is>
      </c>
      <c r="H13" s="16" t="n">
        <v>0</v>
      </c>
      <c r="I13" s="16" t="inlineStr">
        <is>
          <t>刷卡笔数</t>
        </is>
      </c>
      <c r="J13" s="16" t="inlineStr">
        <is>
          <t>12笔&amp;5000元</t>
        </is>
      </c>
      <c r="K13" s="16" t="inlineStr">
        <is>
          <t>11月</t>
        </is>
      </c>
      <c r="L13" s="16" t="inlineStr">
        <is>
          <t>⚠️未完成</t>
        </is>
      </c>
      <c r="M13" s="16" t="inlineStr">
        <is>
          <t>—</t>
        </is>
      </c>
    </row>
    <row r="14" ht="16.5" customHeight="1" s="13">
      <c r="A14" s="16" t="n">
        <v>12</v>
      </c>
      <c r="B14" s="16" t="inlineStr">
        <is>
          <t>建行</t>
        </is>
      </c>
      <c r="C14" s="16" t="inlineStr">
        <is>
          <t>大山白</t>
        </is>
      </c>
      <c r="D14" s="16" t="inlineStr">
        <is>
          <t>—</t>
        </is>
      </c>
      <c r="E14" s="3" t="n">
        <v>80000</v>
      </c>
      <c r="F14" s="3" t="n">
        <v>95000</v>
      </c>
      <c r="G14" s="16" t="inlineStr">
        <is>
          <t>23日</t>
        </is>
      </c>
      <c r="H14" s="16" t="n">
        <v>0</v>
      </c>
      <c r="I14" s="16" t="inlineStr">
        <is>
          <t>积分抵扣</t>
        </is>
      </c>
      <c r="J14" s="16" t="inlineStr">
        <is>
          <t>40W积分</t>
        </is>
      </c>
      <c r="K14" s="16" t="inlineStr">
        <is>
          <t>年底</t>
        </is>
      </c>
      <c r="L14" s="16" t="inlineStr">
        <is>
          <t>✅已免</t>
        </is>
      </c>
      <c r="M14" s="16" t="inlineStr">
        <is>
          <t>6月已兑换</t>
        </is>
      </c>
    </row>
    <row r="15" ht="16.5" customHeight="1" s="13">
      <c r="A15" s="16" t="n">
        <v>13</v>
      </c>
      <c r="B15" s="16" t="inlineStr">
        <is>
          <t>广发</t>
        </is>
      </c>
      <c r="C15" s="16" t="inlineStr">
        <is>
          <t>尊旅卡</t>
        </is>
      </c>
      <c r="D15" s="16" t="inlineStr">
        <is>
          <t>—</t>
        </is>
      </c>
      <c r="E15" s="3" t="n">
        <v>55000</v>
      </c>
      <c r="F15" s="3" t="n">
        <v>71500</v>
      </c>
      <c r="G15" s="16" t="inlineStr">
        <is>
          <t>25日</t>
        </is>
      </c>
      <c r="H15" s="16" t="n">
        <v>0</v>
      </c>
      <c r="I15" s="16" t="inlineStr">
        <is>
          <t>刷卡笔数</t>
        </is>
      </c>
      <c r="J15" s="16" t="inlineStr">
        <is>
          <t>48笔</t>
        </is>
      </c>
      <c r="K15" s="16" t="inlineStr">
        <is>
          <t>7月</t>
        </is>
      </c>
      <c r="L15" s="16" t="inlineStr">
        <is>
          <t>✅已免</t>
        </is>
      </c>
      <c r="M15" s="16" t="inlineStr">
        <is>
          <t>7/31前</t>
        </is>
      </c>
    </row>
    <row r="16" ht="16.5" customHeight="1" s="13">
      <c r="A16" s="16" t="n">
        <v>14</v>
      </c>
      <c r="B16" s="16" t="inlineStr">
        <is>
          <t>光大</t>
        </is>
      </c>
      <c r="C16" s="16" t="inlineStr">
        <is>
          <t>阳光车主</t>
        </is>
      </c>
      <c r="D16" s="16" t="inlineStr">
        <is>
          <t>—</t>
        </is>
      </c>
      <c r="E16" s="3" t="n">
        <v>50000</v>
      </c>
      <c r="F16" s="3" t="n">
        <v>50000</v>
      </c>
      <c r="G16" s="16" t="inlineStr">
        <is>
          <t>25日</t>
        </is>
      </c>
      <c r="H16" s="16" t="n">
        <v>0</v>
      </c>
      <c r="I16" s="16" t="inlineStr">
        <is>
          <t>积分抵扣</t>
        </is>
      </c>
      <c r="J16" s="16" t="inlineStr">
        <is>
          <t>10W积分</t>
        </is>
      </c>
      <c r="K16" s="16" t="inlineStr">
        <is>
          <t>—</t>
        </is>
      </c>
      <c r="L16" s="16" t="inlineStr">
        <is>
          <t>⚠️未完成</t>
        </is>
      </c>
      <c r="M16" s="16" t="inlineStr">
        <is>
          <t>微信多倍活动</t>
        </is>
      </c>
    </row>
    <row r="17" ht="16.5" customHeight="1" s="13">
      <c r="A17" s="16" t="n">
        <v>15</v>
      </c>
      <c r="B17" s="16" t="inlineStr">
        <is>
          <t>工商</t>
        </is>
      </c>
      <c r="C17" s="16" t="inlineStr">
        <is>
          <t>大白</t>
        </is>
      </c>
      <c r="D17" s="16" t="inlineStr">
        <is>
          <t>—</t>
        </is>
      </c>
      <c r="E17" s="3" t="n">
        <v>20000</v>
      </c>
      <c r="F17" s="3" t="n">
        <v>100000</v>
      </c>
      <c r="G17" s="16" t="inlineStr">
        <is>
          <t>26日</t>
        </is>
      </c>
      <c r="H17" s="16" t="n">
        <v>0</v>
      </c>
      <c r="I17" s="16" t="inlineStr">
        <is>
          <t>刷卡笔数</t>
        </is>
      </c>
      <c r="J17" s="16" t="inlineStr">
        <is>
          <t>15笔/1W</t>
        </is>
      </c>
      <c r="K17" s="16" t="inlineStr">
        <is>
          <t>—</t>
        </is>
      </c>
      <c r="L17" s="16" t="inlineStr">
        <is>
          <t>✅已免</t>
        </is>
      </c>
      <c r="M17" s="16" t="inlineStr">
        <is>
          <t>账单日实际27号</t>
        </is>
      </c>
    </row>
    <row r="18" ht="16.5" customHeight="1" s="13">
      <c r="A18" s="16" t="n">
        <v>16</v>
      </c>
      <c r="B18" s="16" t="inlineStr">
        <is>
          <t>北京</t>
        </is>
      </c>
      <c r="C18" s="16" t="inlineStr">
        <is>
          <t>京彩卡</t>
        </is>
      </c>
      <c r="D18" s="16" t="inlineStr">
        <is>
          <t>—</t>
        </is>
      </c>
      <c r="E18" s="3" t="n">
        <v>60000</v>
      </c>
      <c r="F18" s="3" t="n">
        <v>60000</v>
      </c>
      <c r="G18" s="16" t="inlineStr">
        <is>
          <t>27日</t>
        </is>
      </c>
      <c r="H18" s="16" t="n">
        <v>0</v>
      </c>
      <c r="I18" s="16" t="inlineStr">
        <is>
          <t>刷卡笔数</t>
        </is>
      </c>
      <c r="J18" s="16" t="inlineStr">
        <is>
          <t>5笔</t>
        </is>
      </c>
      <c r="K18" s="16" t="inlineStr">
        <is>
          <t>2月</t>
        </is>
      </c>
      <c r="L18" s="16" t="inlineStr">
        <is>
          <t>✅已免</t>
        </is>
      </c>
      <c r="M18" s="16" t="inlineStr">
        <is>
          <t>—</t>
        </is>
      </c>
    </row>
    <row r="19" ht="16.5" customHeight="1" s="13">
      <c r="A19" s="11" t="inlineStr">
        <is>
          <t>合计（16张）</t>
        </is>
      </c>
      <c r="B19" s="18" t="n"/>
      <c r="C19" s="18" t="n"/>
      <c r="D19" s="19" t="n"/>
      <c r="E19" s="5" t="n">
        <v>919000</v>
      </c>
      <c r="F19" s="5" t="n">
        <v>1141500</v>
      </c>
      <c r="G19" s="11" t="n"/>
      <c r="H19" s="11">
        <f>SUM(H3:H18)</f>
        <v/>
      </c>
      <c r="I19" s="11" t="n"/>
      <c r="J19" s="11" t="n"/>
      <c r="K19" s="11" t="n"/>
      <c r="L19" s="11" t="n"/>
      <c r="M19" s="11" t="n"/>
    </row>
    <row r="21" ht="15.75" customHeight="1" s="13">
      <c r="A21" s="12" t="inlineStr">
        <is>
          <t>条件格式：✅=绿色(已达标) | ⚠️=黄色(进行中) | ❌=红色(未完成) | 待补充：卡号后4位、爱人卡片</t>
        </is>
      </c>
    </row>
  </sheetData>
  <autoFilter ref="A2:M19"/>
  <mergeCells count="3">
    <mergeCell ref="A19:D19"/>
    <mergeCell ref="A21:M21"/>
    <mergeCell ref="A1:M1"/>
  </mergeCells>
  <conditionalFormatting sqref="L3:L19">
    <cfRule type="cellIs" priority="1" operator="equal" dxfId="2">
      <formula>"✅*"</formula>
    </cfRule>
    <cfRule type="cellIs" priority="2" operator="equal" dxfId="3">
      <formula>"⚠️*"</formula>
    </cfRule>
    <cfRule type="cellIs" priority="3" operator="equal" dxfId="0">
      <formula>"❌*"</formula>
    </cfRule>
  </conditionalFormatting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H29"/>
  <sheetViews>
    <sheetView tabSelected="1" workbookViewId="0">
      <pane ySplit="2" topLeftCell="A3" activePane="bottomLeft" state="frozen"/>
      <selection pane="bottomLeft" activeCell="O21" sqref="O21"/>
    </sheetView>
  </sheetViews>
  <sheetFormatPr baseColWidth="8" defaultRowHeight="13.5"/>
  <cols>
    <col width="10" customWidth="1" style="13" min="1" max="1"/>
    <col width="12" customWidth="1" style="13" min="2" max="2"/>
    <col width="14" customWidth="1" style="13" min="3" max="3"/>
    <col width="12" customWidth="1" style="13" min="4" max="4"/>
    <col width="8" customWidth="1" style="13" min="5" max="5"/>
    <col width="18" customWidth="1" style="13" min="6" max="6"/>
    <col width="5" customWidth="1" style="13" min="7" max="7"/>
    <col width="8" customWidth="1" style="13" min="8" max="8"/>
  </cols>
  <sheetData>
    <row r="1" ht="30" customHeight="1" s="13">
      <c r="A1" s="14" t="inlineStr">
        <is>
          <t>年费追踪 — 按4种类型分组</t>
        </is>
      </c>
    </row>
    <row r="3" ht="15" customHeight="1" s="13">
      <c r="A3" s="17" t="inlineStr">
        <is>
          <t>A. 积分抵扣类</t>
        </is>
      </c>
    </row>
    <row r="4" ht="33" customHeight="1" s="13">
      <c r="A4" s="6" t="inlineStr">
        <is>
          <t>银行</t>
        </is>
      </c>
      <c r="B4" s="6" t="inlineStr">
        <is>
          <t>卡种</t>
        </is>
      </c>
      <c r="C4" s="6" t="inlineStr">
        <is>
          <t>所需积分</t>
        </is>
      </c>
      <c r="D4" s="6" t="inlineStr">
        <is>
          <t>当前积分</t>
        </is>
      </c>
      <c r="E4" s="6" t="inlineStr">
        <is>
          <t>缺口</t>
        </is>
      </c>
      <c r="F4" s="6" t="inlineStr">
        <is>
          <t>最佳攒分方式</t>
        </is>
      </c>
      <c r="G4" s="6" t="inlineStr">
        <is>
          <t>兑换截止</t>
        </is>
      </c>
      <c r="H4" s="6" t="inlineStr">
        <is>
          <t>状态</t>
        </is>
      </c>
    </row>
    <row r="5" ht="16.5" customHeight="1" s="13">
      <c r="A5" s="16" t="inlineStr">
        <is>
          <t>建行</t>
        </is>
      </c>
      <c r="B5" s="16" t="inlineStr">
        <is>
          <t>大山白</t>
        </is>
      </c>
      <c r="C5" s="16" t="n">
        <v>400000</v>
      </c>
      <c r="D5" s="16" t="inlineStr">
        <is>
          <t>—</t>
        </is>
      </c>
      <c r="E5" s="16" t="inlineStr">
        <is>
          <t>—</t>
        </is>
      </c>
      <c r="F5" s="16" t="inlineStr">
        <is>
          <t>龙支付3倍/云闪付2倍</t>
        </is>
      </c>
      <c r="G5" s="16" t="inlineStr">
        <is>
          <t>年底</t>
        </is>
      </c>
      <c r="H5" s="16" t="inlineStr">
        <is>
          <t>✅</t>
        </is>
      </c>
    </row>
    <row r="6" ht="16.5" customHeight="1" s="13">
      <c r="A6" s="16" t="inlineStr">
        <is>
          <t>邮储</t>
        </is>
      </c>
      <c r="B6" s="16" t="inlineStr">
        <is>
          <t>鼎致白</t>
        </is>
      </c>
      <c r="C6" s="16" t="n">
        <v>200000</v>
      </c>
      <c r="D6" s="16" t="inlineStr">
        <is>
          <t>—</t>
        </is>
      </c>
      <c r="E6" s="16" t="inlineStr">
        <is>
          <t>—</t>
        </is>
      </c>
      <c r="F6" s="16" t="inlineStr">
        <is>
          <t>生日双倍</t>
        </is>
      </c>
      <c r="G6" s="16" t="inlineStr">
        <is>
          <t>2月</t>
        </is>
      </c>
      <c r="H6" s="16" t="inlineStr">
        <is>
          <t>✅</t>
        </is>
      </c>
    </row>
    <row r="7" ht="16.5" customHeight="1" s="13">
      <c r="A7" s="16" t="inlineStr">
        <is>
          <t>光大</t>
        </is>
      </c>
      <c r="B7" s="16" t="inlineStr">
        <is>
          <t>阳光车主</t>
        </is>
      </c>
      <c r="C7" s="16" t="n">
        <v>100000</v>
      </c>
      <c r="D7" s="16" t="inlineStr">
        <is>
          <t>—</t>
        </is>
      </c>
      <c r="E7" s="16" t="inlineStr">
        <is>
          <t>—</t>
        </is>
      </c>
      <c r="F7" s="16" t="inlineStr">
        <is>
          <t>微信5/10倍活动</t>
        </is>
      </c>
      <c r="G7" s="16" t="inlineStr">
        <is>
          <t>—</t>
        </is>
      </c>
      <c r="H7" s="16" t="inlineStr">
        <is>
          <t>⚠️</t>
        </is>
      </c>
    </row>
    <row r="8" ht="16.5" customHeight="1" s="13">
      <c r="A8" s="16" t="inlineStr">
        <is>
          <t>民生</t>
        </is>
      </c>
      <c r="B8" s="16" t="inlineStr">
        <is>
          <t>百夫长</t>
        </is>
      </c>
      <c r="C8" s="16" t="n">
        <v>200000</v>
      </c>
      <c r="D8" s="16" t="inlineStr">
        <is>
          <t>—</t>
        </is>
      </c>
      <c r="E8" s="16" t="inlineStr">
        <is>
          <t>—</t>
        </is>
      </c>
      <c r="F8" s="16" t="inlineStr">
        <is>
          <t>支付宝</t>
        </is>
      </c>
      <c r="G8" s="16" t="inlineStr">
        <is>
          <t>4月</t>
        </is>
      </c>
      <c r="H8" s="16" t="inlineStr">
        <is>
          <t>✅</t>
        </is>
      </c>
    </row>
    <row r="9" ht="16.5" customHeight="1" s="13">
      <c r="A9" s="16" t="n"/>
      <c r="B9" s="16" t="n"/>
      <c r="C9" s="16" t="n"/>
      <c r="D9" s="16" t="n"/>
      <c r="E9" s="16" t="n"/>
      <c r="F9" s="16" t="n"/>
      <c r="G9" s="16" t="n"/>
      <c r="H9" s="16" t="n"/>
    </row>
    <row r="10" ht="16.5" customHeight="1" s="13">
      <c r="A10" s="15" t="inlineStr">
        <is>
          <t>B. 刷卡笔数类</t>
        </is>
      </c>
      <c r="B10" s="18" t="n"/>
      <c r="C10" s="18" t="n"/>
      <c r="D10" s="18" t="n"/>
      <c r="E10" s="18" t="n"/>
      <c r="F10" s="18" t="n"/>
      <c r="G10" s="18" t="n"/>
      <c r="H10" s="19" t="n"/>
    </row>
    <row r="11" ht="16.5" customHeight="1" s="13">
      <c r="A11" s="6" t="inlineStr">
        <is>
          <t>银行</t>
        </is>
      </c>
      <c r="B11" s="6" t="inlineStr">
        <is>
          <t>卡种</t>
        </is>
      </c>
      <c r="C11" s="6" t="inlineStr">
        <is>
          <t>年度目标</t>
        </is>
      </c>
      <c r="D11" s="6" t="inlineStr">
        <is>
          <t>已完成</t>
        </is>
      </c>
      <c r="E11" s="6" t="inlineStr">
        <is>
          <t>缺口</t>
        </is>
      </c>
      <c r="F11" s="6" t="inlineStr">
        <is>
          <t>截止月</t>
        </is>
      </c>
      <c r="G11" s="6" t="inlineStr">
        <is>
          <t>—</t>
        </is>
      </c>
      <c r="H11" s="6" t="inlineStr">
        <is>
          <t>状态</t>
        </is>
      </c>
    </row>
    <row r="12" ht="16.5" customHeight="1" s="13">
      <c r="A12" s="16" t="inlineStr">
        <is>
          <t>农行</t>
        </is>
      </c>
      <c r="B12" s="16" t="inlineStr">
        <is>
          <t>精粹白</t>
        </is>
      </c>
      <c r="C12" s="16" t="inlineStr">
        <is>
          <t>30笔</t>
        </is>
      </c>
      <c r="D12" s="16" t="inlineStr">
        <is>
          <t>—</t>
        </is>
      </c>
      <c r="E12" s="16" t="inlineStr">
        <is>
          <t>—</t>
        </is>
      </c>
      <c r="F12" s="16" t="inlineStr">
        <is>
          <t>—</t>
        </is>
      </c>
      <c r="G12" s="16" t="n"/>
      <c r="H12" s="16" t="inlineStr">
        <is>
          <t>⚠️</t>
        </is>
      </c>
    </row>
    <row r="13" ht="16.5" customHeight="1" s="13">
      <c r="A13" s="16" t="inlineStr">
        <is>
          <t>广发</t>
        </is>
      </c>
      <c r="B13" s="16" t="inlineStr">
        <is>
          <t>尊旅卡</t>
        </is>
      </c>
      <c r="C13" s="16" t="inlineStr">
        <is>
          <t>48笔</t>
        </is>
      </c>
      <c r="D13" s="16" t="inlineStr">
        <is>
          <t>—</t>
        </is>
      </c>
      <c r="E13" s="16" t="inlineStr">
        <is>
          <t>—</t>
        </is>
      </c>
      <c r="F13" s="16" t="inlineStr">
        <is>
          <t>7月</t>
        </is>
      </c>
      <c r="G13" s="16" t="n"/>
      <c r="H13" s="16" t="inlineStr">
        <is>
          <t>⚠️</t>
        </is>
      </c>
    </row>
    <row r="14" ht="16.5" customHeight="1" s="13">
      <c r="A14" s="16" t="inlineStr">
        <is>
          <t>中国银行</t>
        </is>
      </c>
      <c r="B14" s="16" t="inlineStr">
        <is>
          <t>—</t>
        </is>
      </c>
      <c r="C14" s="16" t="inlineStr">
        <is>
          <t>12笔+5000元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11月</t>
        </is>
      </c>
      <c r="G14" s="16" t="n"/>
      <c r="H14" s="16" t="inlineStr">
        <is>
          <t>⚠️</t>
        </is>
      </c>
    </row>
    <row r="15" ht="16.5" customHeight="1" s="13">
      <c r="A15" s="16" t="inlineStr">
        <is>
          <t>北京</t>
        </is>
      </c>
      <c r="B15" s="16" t="inlineStr">
        <is>
          <t>京彩卡</t>
        </is>
      </c>
      <c r="C15" s="16" t="inlineStr">
        <is>
          <t>5笔</t>
        </is>
      </c>
      <c r="D15" s="16" t="n">
        <v>5</v>
      </c>
      <c r="E15" s="16" t="n">
        <v>0</v>
      </c>
      <c r="F15" s="16" t="inlineStr">
        <is>
          <t>2月</t>
        </is>
      </c>
      <c r="G15" s="16" t="n"/>
      <c r="H15" s="16" t="inlineStr">
        <is>
          <t>✅</t>
        </is>
      </c>
    </row>
    <row r="16" ht="16.5" customHeight="1" s="13">
      <c r="A16" s="16" t="inlineStr">
        <is>
          <t>工商</t>
        </is>
      </c>
      <c r="B16" s="16" t="inlineStr">
        <is>
          <t>大白</t>
        </is>
      </c>
      <c r="C16" s="16" t="inlineStr">
        <is>
          <t>15笔</t>
        </is>
      </c>
      <c r="D16" s="16" t="n">
        <v>15</v>
      </c>
      <c r="E16" s="16" t="n">
        <v>0</v>
      </c>
      <c r="F16" s="16" t="inlineStr">
        <is>
          <t>—</t>
        </is>
      </c>
      <c r="G16" s="16" t="n"/>
      <c r="H16" s="16" t="inlineStr">
        <is>
          <t>✅</t>
        </is>
      </c>
    </row>
    <row r="17" ht="16.5" customHeight="1" s="13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 ht="16.5" customHeight="1" s="13">
      <c r="A18" s="15" t="inlineStr">
        <is>
          <t>C. 消费额度类</t>
        </is>
      </c>
      <c r="B18" s="18" t="n"/>
      <c r="C18" s="18" t="n"/>
      <c r="D18" s="18" t="n"/>
      <c r="E18" s="18" t="n"/>
      <c r="F18" s="18" t="n"/>
      <c r="G18" s="18" t="n"/>
      <c r="H18" s="19" t="n"/>
    </row>
    <row r="19" ht="16.5" customHeight="1" s="13">
      <c r="A19" s="6" t="inlineStr">
        <is>
          <t>银行</t>
        </is>
      </c>
      <c r="B19" s="6" t="inlineStr">
        <is>
          <t>卡种</t>
        </is>
      </c>
      <c r="C19" s="6" t="inlineStr">
        <is>
          <t>年度目标</t>
        </is>
      </c>
      <c r="D19" s="6" t="inlineStr">
        <is>
          <t>当前进度</t>
        </is>
      </c>
      <c r="E19" s="6" t="inlineStr">
        <is>
          <t>缺口</t>
        </is>
      </c>
      <c r="F19" s="6" t="inlineStr">
        <is>
          <t>截止月</t>
        </is>
      </c>
      <c r="G19" s="6" t="inlineStr">
        <is>
          <t>—</t>
        </is>
      </c>
      <c r="H19" s="6" t="inlineStr">
        <is>
          <t>状态</t>
        </is>
      </c>
    </row>
    <row r="20" ht="16.5" customHeight="1" s="13">
      <c r="A20" s="16" t="inlineStr">
        <is>
          <t>招商</t>
        </is>
      </c>
      <c r="B20" s="16" t="inlineStr">
        <is>
          <t>飞鸟白</t>
        </is>
      </c>
      <c r="C20" s="16" t="inlineStr">
        <is>
          <t>8W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8月</t>
        </is>
      </c>
      <c r="G20" s="16" t="n"/>
      <c r="H20" s="16" t="inlineStr">
        <is>
          <t>⚠️</t>
        </is>
      </c>
    </row>
    <row r="21" ht="16.5" customHeight="1" s="13">
      <c r="A21" s="16" t="inlineStr">
        <is>
          <t>平安</t>
        </is>
      </c>
      <c r="B21" s="16" t="inlineStr">
        <is>
          <t>精英白</t>
        </is>
      </c>
      <c r="C21" s="16" t="inlineStr">
        <is>
          <t>12W</t>
        </is>
      </c>
      <c r="D21" s="16" t="inlineStr">
        <is>
          <t>—</t>
        </is>
      </c>
      <c r="E21" s="16" t="inlineStr">
        <is>
          <t>—</t>
        </is>
      </c>
      <c r="F21" s="16" t="inlineStr">
        <is>
          <t>8月</t>
        </is>
      </c>
      <c r="G21" s="16" t="n"/>
      <c r="H21" s="16" t="inlineStr">
        <is>
          <t>⚠️</t>
        </is>
      </c>
    </row>
    <row r="22" ht="16.5" customHeight="1" s="13">
      <c r="A22" s="16" t="inlineStr">
        <is>
          <t>浦发</t>
        </is>
      </c>
      <c r="B22" s="16" t="inlineStr">
        <is>
          <t>南航卡</t>
        </is>
      </c>
      <c r="C22" s="16" t="inlineStr">
        <is>
          <t>12W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  <c r="G22" s="16" t="n"/>
      <c r="H22" s="16" t="inlineStr">
        <is>
          <t>⚠️</t>
        </is>
      </c>
    </row>
    <row r="23" ht="16.5" customHeight="1" s="13">
      <c r="A23" s="16" t="inlineStr">
        <is>
          <t>宁波</t>
        </is>
      </c>
      <c r="B23" s="16" t="inlineStr">
        <is>
          <t>菁英卡</t>
        </is>
      </c>
      <c r="C23" s="16" t="inlineStr">
        <is>
          <t>18W</t>
        </is>
      </c>
      <c r="D23" s="16" t="inlineStr">
        <is>
          <t>—</t>
        </is>
      </c>
      <c r="E23" s="16" t="inlineStr">
        <is>
          <t>—</t>
        </is>
      </c>
      <c r="F23" s="16" t="inlineStr">
        <is>
          <t>—</t>
        </is>
      </c>
      <c r="G23" s="16" t="n"/>
      <c r="H23" s="16" t="inlineStr">
        <is>
          <t>⚠️</t>
        </is>
      </c>
    </row>
    <row r="24" ht="16.5" customHeight="1" s="13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 ht="16.5" customHeight="1" s="13">
      <c r="A25" s="15" t="inlineStr">
        <is>
          <t>D. 刚性年费类</t>
        </is>
      </c>
      <c r="B25" s="18" t="n"/>
      <c r="C25" s="18" t="n"/>
      <c r="D25" s="18" t="n"/>
      <c r="E25" s="18" t="n"/>
      <c r="F25" s="18" t="n"/>
      <c r="G25" s="18" t="n"/>
      <c r="H25" s="19" t="n"/>
    </row>
    <row r="26" ht="16.5" customHeight="1" s="13">
      <c r="A26" s="6" t="inlineStr">
        <is>
          <t>银行</t>
        </is>
      </c>
      <c r="B26" s="6" t="inlineStr">
        <is>
          <t>卡种</t>
        </is>
      </c>
      <c r="C26" s="6" t="inlineStr">
        <is>
          <t>年费</t>
        </is>
      </c>
      <c r="D26" s="6" t="inlineStr">
        <is>
          <t>收取时间</t>
        </is>
      </c>
      <c r="E26" s="6" t="inlineStr">
        <is>
          <t>权益价值</t>
        </is>
      </c>
      <c r="F26" s="6" t="inlineStr">
        <is>
          <t>是否保留</t>
        </is>
      </c>
      <c r="G26" s="6" t="inlineStr">
        <is>
          <t>—</t>
        </is>
      </c>
      <c r="H26" s="6" t="inlineStr">
        <is>
          <t>操作</t>
        </is>
      </c>
    </row>
    <row r="27" ht="16.5" customHeight="1" s="13">
      <c r="A27" s="16" t="inlineStr">
        <is>
          <t>中信</t>
        </is>
      </c>
      <c r="B27" s="16" t="inlineStr">
        <is>
          <t>南航卡</t>
        </is>
      </c>
      <c r="C27" s="16" t="n">
        <v>480</v>
      </c>
      <c r="D27" s="16" t="inlineStr">
        <is>
          <t>4月24日</t>
        </is>
      </c>
      <c r="E27" s="16" t="inlineStr">
        <is>
          <t>南航里程</t>
        </is>
      </c>
      <c r="F27" s="16" t="inlineStr">
        <is>
          <t>保留</t>
        </is>
      </c>
      <c r="G27" s="16" t="n"/>
      <c r="H27" s="16" t="inlineStr">
        <is>
          <t>—</t>
        </is>
      </c>
    </row>
    <row r="28" ht="33" customHeight="1" s="13">
      <c r="A28" s="16" t="inlineStr">
        <is>
          <t>交通</t>
        </is>
      </c>
      <c r="B28" s="16" t="inlineStr">
        <is>
          <t>东航卡</t>
        </is>
      </c>
      <c r="C28" s="16" t="n">
        <v>500</v>
      </c>
      <c r="D28" s="16" t="inlineStr">
        <is>
          <t>12月30日</t>
        </is>
      </c>
      <c r="E28" s="16" t="inlineStr">
        <is>
          <t>东航里程+代驾</t>
        </is>
      </c>
      <c r="F28" s="16" t="inlineStr">
        <is>
          <t>保留</t>
        </is>
      </c>
      <c r="G28" s="16" t="n"/>
      <c r="H28" s="16" t="inlineStr">
        <is>
          <t>尝试减半</t>
        </is>
      </c>
    </row>
    <row r="29" ht="33" customHeight="1" s="13">
      <c r="A29" s="16" t="inlineStr">
        <is>
          <t>兴业</t>
        </is>
      </c>
      <c r="B29" s="16" t="inlineStr">
        <is>
          <t>行悠白</t>
        </is>
      </c>
      <c r="C29" s="16" t="n">
        <v>900</v>
      </c>
      <c r="D29" s="16" t="inlineStr">
        <is>
          <t>8月26日</t>
        </is>
      </c>
      <c r="E29" s="16" t="inlineStr">
        <is>
          <t>接送机+贵宾厅</t>
        </is>
      </c>
      <c r="F29" s="16" t="inlineStr">
        <is>
          <t>待评估</t>
        </is>
      </c>
      <c r="G29" s="16" t="n"/>
      <c r="H29" s="16" t="inlineStr">
        <is>
          <t>12378投诉</t>
        </is>
      </c>
    </row>
  </sheetData>
  <mergeCells count="5">
    <mergeCell ref="A18:H18"/>
    <mergeCell ref="A3:H3"/>
    <mergeCell ref="A25:H25"/>
    <mergeCell ref="A10:H10"/>
    <mergeCell ref="A1:H1"/>
  </mergeCells>
  <conditionalFormatting sqref="H4:H29">
    <cfRule type="cellIs" priority="1" operator="equal" dxfId="2">
      <formula>"✅"</formula>
    </cfRule>
    <cfRule type="cellIs" priority="2" operator="equal" dxfId="3">
      <formula>"⚠️"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3.5"/>
  <cols>
    <col width="8" customWidth="1" style="13" min="1" max="1"/>
    <col width="10" customWidth="1" style="13" min="2" max="2"/>
    <col width="14" customWidth="1" style="13" min="3" max="3"/>
    <col width="10" customWidth="1" style="13" min="4" max="5"/>
    <col width="18" customWidth="1" style="13" min="6" max="6"/>
  </cols>
  <sheetData>
    <row r="1" ht="30" customHeight="1" s="13">
      <c r="A1" s="14" t="inlineStr">
        <is>
          <t>0账单还款日历 — 账单日=还款日，当天还清</t>
        </is>
      </c>
    </row>
    <row r="2" ht="15.75" customHeight="1" s="13">
      <c r="A2" s="12" t="inlineStr">
        <is>
          <t>规则：账单日 = 还款日，当天还清 → 征信报告显示0账单 | 操作：手机日历设提醒 → 当天云闪付还款 → Excel打✅</t>
        </is>
      </c>
    </row>
    <row r="3" ht="15" customHeight="1" s="13">
      <c r="A3" s="1" t="inlineStr">
        <is>
          <t>账单日</t>
        </is>
      </c>
      <c r="B3" s="1" t="inlineStr">
        <is>
          <t>银行</t>
        </is>
      </c>
      <c r="C3" s="1" t="inlineStr">
        <is>
          <t>卡种</t>
        </is>
      </c>
      <c r="D3" s="1" t="inlineStr">
        <is>
          <t>本月已还</t>
        </is>
      </c>
      <c r="E3" s="1" t="inlineStr">
        <is>
          <t>还款金额</t>
        </is>
      </c>
      <c r="F3" s="1" t="inlineStr">
        <is>
          <t>备注</t>
        </is>
      </c>
    </row>
    <row r="4" ht="16.5" customHeight="1" s="13">
      <c r="A4" s="16" t="inlineStr">
        <is>
          <t>5日</t>
        </is>
      </c>
      <c r="B4" s="16" t="inlineStr">
        <is>
          <t>兴业</t>
        </is>
      </c>
      <c r="C4" s="16" t="inlineStr">
        <is>
          <t>行悠白</t>
        </is>
      </c>
      <c r="D4" s="16" t="inlineStr">
        <is>
          <t>⬜</t>
        </is>
      </c>
      <c r="E4" s="16" t="inlineStr">
        <is>
          <t>—</t>
        </is>
      </c>
      <c r="F4" s="16" t="inlineStr">
        <is>
          <t>—</t>
        </is>
      </c>
    </row>
    <row r="5" ht="16.5" customHeight="1" s="13">
      <c r="A5" s="16" t="inlineStr">
        <is>
          <t>9日</t>
        </is>
      </c>
      <c r="B5" s="16" t="inlineStr">
        <is>
          <t>平安</t>
        </is>
      </c>
      <c r="C5" s="16" t="inlineStr">
        <is>
          <t>精英白</t>
        </is>
      </c>
      <c r="D5" s="16" t="inlineStr">
        <is>
          <t>⬜</t>
        </is>
      </c>
      <c r="E5" s="16" t="inlineStr">
        <is>
          <t>—</t>
        </is>
      </c>
      <c r="F5" s="16" t="inlineStr">
        <is>
          <t>—</t>
        </is>
      </c>
    </row>
    <row r="6" ht="16.5" customHeight="1" s="13">
      <c r="A6" s="16" t="inlineStr">
        <is>
          <t>10日</t>
        </is>
      </c>
      <c r="B6" s="16" t="inlineStr">
        <is>
          <t>宁波</t>
        </is>
      </c>
      <c r="C6" s="16" t="inlineStr">
        <is>
          <t>菁英卡</t>
        </is>
      </c>
      <c r="D6" s="16" t="inlineStr">
        <is>
          <t>⬜</t>
        </is>
      </c>
      <c r="E6" s="16" t="inlineStr">
        <is>
          <t>—</t>
        </is>
      </c>
      <c r="F6" s="16" t="inlineStr">
        <is>
          <t>—</t>
        </is>
      </c>
    </row>
    <row r="7" ht="16.5" customHeight="1" s="13">
      <c r="A7" s="16" t="inlineStr">
        <is>
          <t>12日</t>
        </is>
      </c>
      <c r="B7" s="16" t="inlineStr">
        <is>
          <t>农行</t>
        </is>
      </c>
      <c r="C7" s="16" t="inlineStr">
        <is>
          <t>精粹白</t>
        </is>
      </c>
      <c r="D7" s="16" t="inlineStr">
        <is>
          <t>⬜</t>
        </is>
      </c>
      <c r="E7" s="16" t="inlineStr">
        <is>
          <t>—</t>
        </is>
      </c>
      <c r="F7" s="16" t="inlineStr">
        <is>
          <t>—</t>
        </is>
      </c>
    </row>
    <row r="8" ht="16.5" customHeight="1" s="13">
      <c r="A8" s="16" t="inlineStr">
        <is>
          <t>15日</t>
        </is>
      </c>
      <c r="B8" s="16" t="inlineStr">
        <is>
          <t>交通</t>
        </is>
      </c>
      <c r="C8" s="16" t="inlineStr">
        <is>
          <t>东航卡</t>
        </is>
      </c>
      <c r="D8" s="16" t="inlineStr">
        <is>
          <t>⬜</t>
        </is>
      </c>
      <c r="E8" s="16" t="inlineStr">
        <is>
          <t>—</t>
        </is>
      </c>
      <c r="F8" s="16" t="inlineStr">
        <is>
          <t>25年无法修改</t>
        </is>
      </c>
    </row>
    <row r="9" ht="16.5" customHeight="1" s="13">
      <c r="A9" s="16" t="inlineStr">
        <is>
          <t>17日</t>
        </is>
      </c>
      <c r="B9" s="16" t="inlineStr">
        <is>
          <t>招商</t>
        </is>
      </c>
      <c r="C9" s="16" t="inlineStr">
        <is>
          <t>飞鸟白</t>
        </is>
      </c>
      <c r="D9" s="16" t="inlineStr">
        <is>
          <t>⬜</t>
        </is>
      </c>
      <c r="E9" s="16" t="inlineStr">
        <is>
          <t>—</t>
        </is>
      </c>
      <c r="F9" s="16" t="inlineStr">
        <is>
          <t>实际16号</t>
        </is>
      </c>
    </row>
    <row r="10" ht="16.5" customHeight="1" s="13">
      <c r="A10" s="16" t="inlineStr">
        <is>
          <t>20日</t>
        </is>
      </c>
      <c r="B10" s="16" t="inlineStr">
        <is>
          <t>中信</t>
        </is>
      </c>
      <c r="C10" s="16" t="inlineStr">
        <is>
          <t>南航卡</t>
        </is>
      </c>
      <c r="D10" s="16" t="inlineStr">
        <is>
          <t>⬜</t>
        </is>
      </c>
      <c r="E10" s="16" t="inlineStr">
        <is>
          <t>—</t>
        </is>
      </c>
      <c r="F10" s="16" t="inlineStr">
        <is>
          <t>—</t>
        </is>
      </c>
    </row>
    <row r="11" ht="16.5" customHeight="1" s="13">
      <c r="A11" s="16" t="inlineStr">
        <is>
          <t>22日</t>
        </is>
      </c>
      <c r="B11" s="16" t="inlineStr">
        <is>
          <t>民生</t>
        </is>
      </c>
      <c r="C11" s="16" t="inlineStr">
        <is>
          <t>百夫长</t>
        </is>
      </c>
      <c r="D11" s="16" t="inlineStr">
        <is>
          <t>⬜</t>
        </is>
      </c>
      <c r="E11" s="16" t="inlineStr">
        <is>
          <t>—</t>
        </is>
      </c>
      <c r="F11" s="16" t="inlineStr">
        <is>
          <t>—</t>
        </is>
      </c>
    </row>
    <row r="12" ht="16.5" customHeight="1" s="13">
      <c r="A12" s="16" t="inlineStr">
        <is>
          <t>23日</t>
        </is>
      </c>
      <c r="B12" s="16" t="inlineStr">
        <is>
          <t>邮储</t>
        </is>
      </c>
      <c r="C12" s="16" t="inlineStr">
        <is>
          <t>鼎致白</t>
        </is>
      </c>
      <c r="D12" s="16" t="inlineStr">
        <is>
          <t>⬜</t>
        </is>
      </c>
      <c r="E12" s="16" t="inlineStr">
        <is>
          <t>—</t>
        </is>
      </c>
      <c r="F12" s="16" t="inlineStr">
        <is>
          <t>—</t>
        </is>
      </c>
    </row>
    <row r="13" ht="16.5" customHeight="1" s="13">
      <c r="A13" s="16" t="inlineStr">
        <is>
          <t>25日</t>
        </is>
      </c>
      <c r="B13" s="16" t="inlineStr">
        <is>
          <t>浦发</t>
        </is>
      </c>
      <c r="C13" s="16" t="inlineStr">
        <is>
          <t>南航卡</t>
        </is>
      </c>
      <c r="D13" s="16" t="inlineStr">
        <is>
          <t>⬜</t>
        </is>
      </c>
      <c r="E13" s="16" t="inlineStr">
        <is>
          <t>—</t>
        </is>
      </c>
      <c r="F13" s="16" t="inlineStr">
        <is>
          <t>—</t>
        </is>
      </c>
    </row>
    <row r="14" ht="16.5" customHeight="1" s="13">
      <c r="A14" s="16" t="inlineStr">
        <is>
          <t>25日</t>
        </is>
      </c>
      <c r="B14" s="16" t="inlineStr">
        <is>
          <t>中国银行</t>
        </is>
      </c>
      <c r="C14" s="16" t="inlineStr">
        <is>
          <t>—</t>
        </is>
      </c>
      <c r="D14" s="16" t="inlineStr">
        <is>
          <t>⬜</t>
        </is>
      </c>
      <c r="E14" s="16" t="inlineStr">
        <is>
          <t>—</t>
        </is>
      </c>
      <c r="F14" s="16" t="inlineStr">
        <is>
          <t>—</t>
        </is>
      </c>
    </row>
    <row r="15" ht="16.5" customHeight="1" s="13">
      <c r="A15" s="16" t="inlineStr">
        <is>
          <t>26日</t>
        </is>
      </c>
      <c r="B15" s="16" t="inlineStr">
        <is>
          <t>建行</t>
        </is>
      </c>
      <c r="C15" s="16" t="inlineStr">
        <is>
          <t>大山白</t>
        </is>
      </c>
      <c r="D15" s="16" t="inlineStr">
        <is>
          <t>⬜</t>
        </is>
      </c>
      <c r="E15" s="16" t="inlineStr">
        <is>
          <t>—</t>
        </is>
      </c>
      <c r="F15" s="16" t="inlineStr">
        <is>
          <t>—</t>
        </is>
      </c>
    </row>
    <row r="16" ht="16.5" customHeight="1" s="13">
      <c r="A16" s="16" t="inlineStr">
        <is>
          <t>29日</t>
        </is>
      </c>
      <c r="B16" s="16" t="inlineStr">
        <is>
          <t>广发</t>
        </is>
      </c>
      <c r="C16" s="16" t="inlineStr">
        <is>
          <t>尊旅卡</t>
        </is>
      </c>
      <c r="D16" s="16" t="inlineStr">
        <is>
          <t>⬜</t>
        </is>
      </c>
      <c r="E16" s="16" t="inlineStr">
        <is>
          <t>—</t>
        </is>
      </c>
      <c r="F16" s="16" t="inlineStr">
        <is>
          <t>25年无法修改</t>
        </is>
      </c>
    </row>
    <row r="17" ht="16.5" customHeight="1" s="13">
      <c r="A17" s="16" t="inlineStr">
        <is>
          <t>29日</t>
        </is>
      </c>
      <c r="B17" s="16" t="inlineStr">
        <is>
          <t>光大</t>
        </is>
      </c>
      <c r="C17" s="16" t="inlineStr">
        <is>
          <t>阳光车主</t>
        </is>
      </c>
      <c r="D17" s="16" t="inlineStr">
        <is>
          <t>⬜</t>
        </is>
      </c>
      <c r="E17" s="16" t="inlineStr">
        <is>
          <t>—</t>
        </is>
      </c>
      <c r="F17" s="16" t="inlineStr">
        <is>
          <t>—</t>
        </is>
      </c>
    </row>
    <row r="18" ht="16.5" customHeight="1" s="13">
      <c r="A18" s="16" t="inlineStr">
        <is>
          <t>30日</t>
        </is>
      </c>
      <c r="B18" s="16" t="inlineStr">
        <is>
          <t>工商</t>
        </is>
      </c>
      <c r="C18" s="16" t="inlineStr">
        <is>
          <t>大白</t>
        </is>
      </c>
      <c r="D18" s="16" t="inlineStr">
        <is>
          <t>⬜</t>
        </is>
      </c>
      <c r="E18" s="16" t="inlineStr">
        <is>
          <t>—</t>
        </is>
      </c>
      <c r="F18" s="16" t="inlineStr">
        <is>
          <t>实际27号</t>
        </is>
      </c>
    </row>
    <row r="19" ht="16.5" customHeight="1" s="13">
      <c r="A19" s="16" t="inlineStr">
        <is>
          <t>31日</t>
        </is>
      </c>
      <c r="B19" s="16" t="inlineStr">
        <is>
          <t>北京</t>
        </is>
      </c>
      <c r="C19" s="16" t="inlineStr">
        <is>
          <t>京彩卡</t>
        </is>
      </c>
      <c r="D19" s="16" t="inlineStr">
        <is>
          <t>⬜</t>
        </is>
      </c>
      <c r="E19" s="16" t="inlineStr">
        <is>
          <t>—</t>
        </is>
      </c>
      <c r="F19" s="16" t="inlineStr">
        <is>
          <t>只能选固定日期</t>
        </is>
      </c>
    </row>
    <row r="21" ht="15.75" customHeight="1" s="13">
      <c r="A21" s="12" t="inlineStr">
        <is>
          <t>注意：部分银行账单日当天还款可能T+1入账，需测试各银行。</t>
        </is>
      </c>
    </row>
  </sheetData>
  <mergeCells count="3">
    <mergeCell ref="A2:F2"/>
    <mergeCell ref="A21:F21"/>
    <mergeCell ref="A1:F1"/>
  </mergeCells>
  <conditionalFormatting sqref="D4:D19">
    <cfRule type="cellIs" priority="1" operator="equal" dxfId="2">
      <formula>"✅"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K9" sqref="K9"/>
    </sheetView>
  </sheetViews>
  <sheetFormatPr baseColWidth="8" defaultRowHeight="13.5"/>
  <cols>
    <col width="10" customWidth="1" style="13" min="1" max="1"/>
    <col width="8" customWidth="1" style="13" min="2" max="2"/>
    <col width="14" customWidth="1" style="13" min="3" max="3"/>
    <col width="8" customWidth="1" style="13" min="4" max="4"/>
    <col width="10" customWidth="1" style="13" min="5" max="6"/>
    <col width="14" customWidth="1" style="13" min="7" max="8"/>
  </cols>
  <sheetData>
    <row r="1" ht="30" customHeight="1" s="13">
      <c r="A1" s="14" t="inlineStr">
        <is>
          <t>权益变现 — 库存管理 + 变现流水</t>
        </is>
      </c>
    </row>
    <row r="3" ht="15" customHeight="1" s="13">
      <c r="A3" s="17" t="inlineStr">
        <is>
          <t>4A. 权益库存（可卖权益汇总）</t>
        </is>
      </c>
    </row>
    <row r="4" ht="15" customHeight="1" s="13">
      <c r="A4" s="1" t="inlineStr">
        <is>
          <t>银行</t>
        </is>
      </c>
      <c r="B4" s="1" t="inlineStr">
        <is>
          <t>权益</t>
        </is>
      </c>
      <c r="C4" s="1" t="inlineStr">
        <is>
          <t>年度总量</t>
        </is>
      </c>
      <c r="D4" s="1" t="inlineStr">
        <is>
          <t>已卖出</t>
        </is>
      </c>
      <c r="E4" s="1" t="inlineStr">
        <is>
          <t>剩余</t>
        </is>
      </c>
      <c r="F4" s="1" t="inlineStr">
        <is>
          <t>市场价(元)</t>
        </is>
      </c>
      <c r="G4" s="1" t="inlineStr">
        <is>
          <t>预估收入</t>
        </is>
      </c>
      <c r="H4" s="1" t="inlineStr">
        <is>
          <t>限制</t>
        </is>
      </c>
    </row>
    <row r="5" ht="16.5" customHeight="1" s="13">
      <c r="A5" s="16" t="inlineStr">
        <is>
          <t>建行</t>
        </is>
      </c>
      <c r="B5" s="16" t="inlineStr">
        <is>
          <t>接送机</t>
        </is>
      </c>
      <c r="C5" s="16" t="n">
        <v>3</v>
      </c>
      <c r="D5" s="16" t="n">
        <v>0</v>
      </c>
      <c r="E5" s="16" t="n">
        <v>3</v>
      </c>
      <c r="F5" s="16" t="inlineStr">
        <is>
          <t>80-120</t>
        </is>
      </c>
      <c r="G5" s="16" t="inlineStr">
        <is>
          <t>240-360</t>
        </is>
      </c>
      <c r="H5" s="16" t="inlineStr">
        <is>
          <t>100km, 实名</t>
        </is>
      </c>
    </row>
    <row r="6" ht="33" customHeight="1" s="13">
      <c r="A6" s="16" t="inlineStr">
        <is>
          <t>建行</t>
        </is>
      </c>
      <c r="B6" s="16" t="inlineStr">
        <is>
          <t>龙腾贵宾厅</t>
        </is>
      </c>
      <c r="C6" s="16" t="n">
        <v>5</v>
      </c>
      <c r="D6" s="16" t="n">
        <v>0</v>
      </c>
      <c r="E6" s="16" t="n">
        <v>5</v>
      </c>
      <c r="F6" s="16" t="inlineStr">
        <is>
          <t>50-80</t>
        </is>
      </c>
      <c r="G6" s="16" t="inlineStr">
        <is>
          <t>250-400</t>
        </is>
      </c>
      <c r="H6" s="16" t="inlineStr">
        <is>
          <t>实名</t>
        </is>
      </c>
    </row>
    <row r="7" ht="16.5" customHeight="1" s="13">
      <c r="A7" s="16" t="inlineStr">
        <is>
          <t>邮储</t>
        </is>
      </c>
      <c r="B7" s="16" t="inlineStr">
        <is>
          <t>代驾</t>
        </is>
      </c>
      <c r="C7" s="16" t="n">
        <v>6</v>
      </c>
      <c r="D7" s="16" t="n">
        <v>0</v>
      </c>
      <c r="E7" s="16" t="n">
        <v>6</v>
      </c>
      <c r="F7" s="16" t="inlineStr">
        <is>
          <t>50-108</t>
        </is>
      </c>
      <c r="G7" s="16" t="inlineStr">
        <is>
          <t>300-648</t>
        </is>
      </c>
      <c r="H7" s="16" t="inlineStr">
        <is>
          <t>40km, 无实名</t>
        </is>
      </c>
    </row>
    <row r="8" ht="16.5" customHeight="1" s="13">
      <c r="A8" s="16" t="inlineStr">
        <is>
          <t>邮储</t>
        </is>
      </c>
      <c r="B8" s="16" t="inlineStr">
        <is>
          <t>接送机</t>
        </is>
      </c>
      <c r="C8" s="16" t="n">
        <v>2</v>
      </c>
      <c r="D8" s="16" t="n">
        <v>0</v>
      </c>
      <c r="E8" s="16" t="n">
        <v>2</v>
      </c>
      <c r="F8" s="16" t="inlineStr">
        <is>
          <t>80-120</t>
        </is>
      </c>
      <c r="G8" s="16" t="inlineStr">
        <is>
          <t>160-240</t>
        </is>
      </c>
      <c r="H8" s="16" t="inlineStr">
        <is>
          <t>无实名</t>
        </is>
      </c>
    </row>
    <row r="9" ht="33" customHeight="1" s="13">
      <c r="A9" s="16" t="inlineStr">
        <is>
          <t>邮储</t>
        </is>
      </c>
      <c r="B9" s="16" t="inlineStr">
        <is>
          <t>机场贵宾厅</t>
        </is>
      </c>
      <c r="C9" s="16" t="n">
        <v>4</v>
      </c>
      <c r="D9" s="16" t="n">
        <v>0</v>
      </c>
      <c r="E9" s="16" t="n">
        <v>4</v>
      </c>
      <c r="F9" s="16" t="inlineStr">
        <is>
          <t>50-80</t>
        </is>
      </c>
      <c r="G9" s="16" t="inlineStr">
        <is>
          <t>200-320</t>
        </is>
      </c>
      <c r="H9" s="16" t="inlineStr">
        <is>
          <t>无实名</t>
        </is>
      </c>
    </row>
    <row r="10" ht="33" customHeight="1" s="13">
      <c r="A10" s="16" t="inlineStr">
        <is>
          <t>工商</t>
        </is>
      </c>
      <c r="B10" s="16" t="inlineStr">
        <is>
          <t>龙腾休息室</t>
        </is>
      </c>
      <c r="C10" s="16" t="n">
        <v>6</v>
      </c>
      <c r="D10" s="16" t="n">
        <v>0</v>
      </c>
      <c r="E10" s="16" t="n">
        <v>6</v>
      </c>
      <c r="F10" s="16" t="inlineStr">
        <is>
          <t>50-80</t>
        </is>
      </c>
      <c r="G10" s="16" t="inlineStr">
        <is>
          <t>300-480</t>
        </is>
      </c>
      <c r="H10" s="16" t="inlineStr">
        <is>
          <t>实名</t>
        </is>
      </c>
    </row>
    <row r="11" ht="16.5" customHeight="1" s="13">
      <c r="A11" s="16" t="inlineStr">
        <is>
          <t>工商</t>
        </is>
      </c>
      <c r="B11" s="16" t="inlineStr">
        <is>
          <t>接送机</t>
        </is>
      </c>
      <c r="C11" s="16" t="n">
        <v>1</v>
      </c>
      <c r="D11" s="16" t="n">
        <v>0</v>
      </c>
      <c r="E11" s="16" t="n">
        <v>1</v>
      </c>
      <c r="F11" s="16" t="inlineStr">
        <is>
          <t>80-100</t>
        </is>
      </c>
      <c r="G11" s="16" t="inlineStr">
        <is>
          <t>80-100</t>
        </is>
      </c>
      <c r="H11" s="16" t="inlineStr">
        <is>
          <t>—</t>
        </is>
      </c>
    </row>
    <row r="12" ht="33" customHeight="1" s="13">
      <c r="A12" s="16" t="inlineStr">
        <is>
          <t>兴业</t>
        </is>
      </c>
      <c r="B12" s="16" t="inlineStr">
        <is>
          <t>境内接送机</t>
        </is>
      </c>
      <c r="C12" s="16" t="n">
        <v>4</v>
      </c>
      <c r="D12" s="16" t="n">
        <v>0</v>
      </c>
      <c r="E12" s="16" t="n">
        <v>4</v>
      </c>
      <c r="F12" s="16" t="inlineStr">
        <is>
          <t>80-120</t>
        </is>
      </c>
      <c r="G12" s="16" t="inlineStr">
        <is>
          <t>320-480</t>
        </is>
      </c>
      <c r="H12" s="16" t="inlineStr">
        <is>
          <t>境内</t>
        </is>
      </c>
    </row>
    <row r="13" ht="33" customHeight="1" s="13">
      <c r="A13" s="16" t="inlineStr">
        <is>
          <t>兴业</t>
        </is>
      </c>
      <c r="B13" s="16" t="inlineStr">
        <is>
          <t>境外接送机</t>
        </is>
      </c>
      <c r="C13" s="16" t="n">
        <v>2</v>
      </c>
      <c r="D13" s="16" t="n">
        <v>0</v>
      </c>
      <c r="E13" s="16" t="n">
        <v>2</v>
      </c>
      <c r="F13" s="16" t="inlineStr">
        <is>
          <t>200+</t>
        </is>
      </c>
      <c r="G13" s="16" t="inlineStr">
        <is>
          <t>400+</t>
        </is>
      </c>
      <c r="H13" s="16" t="inlineStr">
        <is>
          <t>境外</t>
        </is>
      </c>
    </row>
    <row r="14" ht="16.5" customHeight="1" s="13">
      <c r="A14" s="16" t="inlineStr">
        <is>
          <t>民生</t>
        </is>
      </c>
      <c r="B14" s="16" t="inlineStr">
        <is>
          <t>休息室</t>
        </is>
      </c>
      <c r="C14" s="16" t="inlineStr">
        <is>
          <t>N</t>
        </is>
      </c>
      <c r="D14" s="16" t="n">
        <v>0</v>
      </c>
      <c r="E14" s="16" t="inlineStr">
        <is>
          <t>N</t>
        </is>
      </c>
      <c r="F14" s="16" t="inlineStr">
        <is>
          <t>50/次</t>
        </is>
      </c>
      <c r="G14" s="16" t="inlineStr">
        <is>
          <t>—</t>
        </is>
      </c>
      <c r="H14" s="16" t="inlineStr">
        <is>
          <t>100积点/次</t>
        </is>
      </c>
    </row>
    <row r="15" ht="16.5" customHeight="1" s="13">
      <c r="A15" s="16" t="inlineStr">
        <is>
          <t>宁波</t>
        </is>
      </c>
      <c r="B15" s="16" t="inlineStr">
        <is>
          <t>贵宾厅</t>
        </is>
      </c>
      <c r="C15" s="16" t="n">
        <v>12</v>
      </c>
      <c r="D15" s="16" t="n">
        <v>0</v>
      </c>
      <c r="E15" s="16" t="n">
        <v>12</v>
      </c>
      <c r="F15" s="16" t="inlineStr">
        <is>
          <t>50-80</t>
        </is>
      </c>
      <c r="G15" s="16" t="inlineStr">
        <is>
          <t>600-960</t>
        </is>
      </c>
      <c r="H15" s="16" t="inlineStr">
        <is>
          <t>实名</t>
        </is>
      </c>
    </row>
    <row r="16" ht="16.5" customHeight="1" s="13">
      <c r="A16" s="11" t="inlineStr">
        <is>
          <t>合计</t>
        </is>
      </c>
      <c r="B16" s="18" t="n"/>
      <c r="C16" s="18" t="n"/>
      <c r="D16" s="18" t="n"/>
      <c r="E16" s="19" t="n"/>
      <c r="F16" s="11" t="inlineStr">
        <is>
          <t>2,850-4,988 元</t>
        </is>
      </c>
      <c r="G16" s="19" t="n"/>
      <c r="H16" s="11" t="n"/>
    </row>
    <row r="18" ht="15" customHeight="1" s="13">
      <c r="A18" s="17" t="inlineStr">
        <is>
          <t>4B. 变现流水</t>
        </is>
      </c>
    </row>
    <row r="19" ht="15" customHeight="1" s="13">
      <c r="A19" s="1" t="inlineStr">
        <is>
          <t>日期</t>
        </is>
      </c>
      <c r="B19" s="1" t="inlineStr">
        <is>
          <t>银行</t>
        </is>
      </c>
      <c r="C19" s="1" t="inlineStr">
        <is>
          <t>权益</t>
        </is>
      </c>
      <c r="D19" s="1" t="inlineStr">
        <is>
          <t>售价(元)</t>
        </is>
      </c>
      <c r="E19" s="1" t="inlineStr">
        <is>
          <t>买家</t>
        </is>
      </c>
      <c r="F19" s="1" t="inlineStr">
        <is>
          <t>状态</t>
        </is>
      </c>
      <c r="G19" s="1" t="inlineStr">
        <is>
          <t>备注</t>
        </is>
      </c>
      <c r="H19" s="1" t="n"/>
    </row>
    <row r="20" ht="16.5" customHeight="1" s="13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 ht="16.5" customHeight="1" s="13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 ht="16.5" customHeight="1" s="13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 ht="16.5" customHeight="1" s="1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 ht="16.5" customHeight="1" s="13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 ht="16.5" customHeight="1" s="13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 ht="16.5" customHeight="1" s="13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 ht="16.5" customHeight="1" s="13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 ht="16.5" customHeight="1" s="13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 ht="16.5" customHeight="1" s="13">
      <c r="A29" s="16" t="n"/>
      <c r="B29" s="16" t="n"/>
      <c r="C29" s="16" t="n"/>
      <c r="D29" s="16" t="n"/>
      <c r="E29" s="16" t="n"/>
      <c r="F29" s="16" t="n"/>
      <c r="G29" s="16" t="n"/>
      <c r="H29" s="16" t="n"/>
    </row>
  </sheetData>
  <mergeCells count="5">
    <mergeCell ref="A18:H18"/>
    <mergeCell ref="A3:H3"/>
    <mergeCell ref="A16:E16"/>
    <mergeCell ref="F16:G16"/>
    <mergeCell ref="A1:H1"/>
  </mergeCells>
  <conditionalFormatting sqref="E5:E15">
    <cfRule type="cellIs" priority="1" operator="equal" dxfId="0">
      <formula>"0"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A5A5A5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.5"/>
  <cols>
    <col width="10" customWidth="1" style="13" min="1" max="2"/>
    <col width="14" customWidth="1" style="13" min="3" max="3"/>
    <col width="8" customWidth="1" style="13" min="4" max="4"/>
    <col width="10" customWidth="1" style="13" min="5" max="8"/>
  </cols>
  <sheetData>
    <row r="1" ht="30" customHeight="1" s="13">
      <c r="A1" s="14" t="inlineStr">
        <is>
          <t>活动与券 — 固定活动日历 + 变现流水</t>
        </is>
      </c>
    </row>
    <row r="3" ht="15" customHeight="1" s="13">
      <c r="A3" s="17" t="inlineStr">
        <is>
          <t>5A. 固定活动日历</t>
        </is>
      </c>
    </row>
    <row r="4" ht="15" customHeight="1" s="13">
      <c r="A4" s="1" t="inlineStr">
        <is>
          <t>时间</t>
        </is>
      </c>
      <c r="B4" s="1" t="inlineStr">
        <is>
          <t>银行</t>
        </is>
      </c>
      <c r="C4" s="1" t="inlineStr">
        <is>
          <t>活动</t>
        </is>
      </c>
      <c r="D4" s="1" t="inlineStr">
        <is>
          <t>操作</t>
        </is>
      </c>
      <c r="E4" s="1" t="inlineStr">
        <is>
          <t>提醒</t>
        </is>
      </c>
    </row>
    <row r="5" ht="49.5" customHeight="1" s="13">
      <c r="A5" s="16" t="inlineStr">
        <is>
          <t>每月1号</t>
        </is>
      </c>
      <c r="B5" s="16" t="inlineStr">
        <is>
          <t>光大</t>
        </is>
      </c>
      <c r="C5" s="16" t="inlineStr">
        <is>
          <t>微信多倍积分报名</t>
        </is>
      </c>
      <c r="D5" s="16" t="inlineStr">
        <is>
          <t>微信→光大信用卡→报名</t>
        </is>
      </c>
      <c r="E5" s="16" t="inlineStr">
        <is>
          <t>日历重复</t>
        </is>
      </c>
    </row>
    <row r="6" ht="33" customHeight="1" s="13">
      <c r="A6" s="16" t="inlineStr">
        <is>
          <t>每月6号</t>
        </is>
      </c>
      <c r="B6" s="16" t="inlineStr">
        <is>
          <t>农行</t>
        </is>
      </c>
      <c r="C6" s="16" t="inlineStr">
        <is>
          <t>航空里程兑换</t>
        </is>
      </c>
      <c r="D6" s="16" t="inlineStr">
        <is>
          <t>App→里程兑换</t>
        </is>
      </c>
      <c r="E6" s="16" t="inlineStr">
        <is>
          <t>日历重复</t>
        </is>
      </c>
    </row>
    <row r="7" ht="33" customHeight="1" s="13">
      <c r="A7" s="16" t="inlineStr">
        <is>
          <t>每周三</t>
        </is>
      </c>
      <c r="B7" s="16" t="inlineStr">
        <is>
          <t>招商</t>
        </is>
      </c>
      <c r="C7" s="16" t="inlineStr">
        <is>
          <t>周三5折抢券</t>
        </is>
      </c>
      <c r="D7" s="16" t="inlineStr">
        <is>
          <t>App→精选</t>
        </is>
      </c>
      <c r="E7" s="16" t="inlineStr">
        <is>
          <t>日历重复</t>
        </is>
      </c>
    </row>
    <row r="8" ht="33" customHeight="1" s="13">
      <c r="A8" s="16" t="inlineStr">
        <is>
          <t>生日月</t>
        </is>
      </c>
      <c r="B8" s="16" t="inlineStr">
        <is>
          <t>邮储/光大/广发</t>
        </is>
      </c>
      <c r="C8" s="16" t="inlineStr">
        <is>
          <t>生日多倍积分</t>
        </is>
      </c>
      <c r="D8" s="16" t="inlineStr">
        <is>
          <t>自动</t>
        </is>
      </c>
      <c r="E8" s="16" t="inlineStr">
        <is>
          <t>日历提醒</t>
        </is>
      </c>
    </row>
    <row r="11" ht="15" customHeight="1" s="13">
      <c r="A11" s="17" t="inlineStr">
        <is>
          <t>5B. 活动与券变现流水</t>
        </is>
      </c>
    </row>
    <row r="12" ht="15" customHeight="1" s="13">
      <c r="A12" s="1" t="inlineStr">
        <is>
          <t>日期</t>
        </is>
      </c>
      <c r="B12" s="1" t="inlineStr">
        <is>
          <t>银行</t>
        </is>
      </c>
      <c r="C12" s="1" t="inlineStr">
        <is>
          <t>活动/券名</t>
        </is>
      </c>
      <c r="D12" s="1" t="inlineStr">
        <is>
          <t>类型</t>
        </is>
      </c>
      <c r="E12" s="1" t="inlineStr">
        <is>
          <t>成本(元)</t>
        </is>
      </c>
      <c r="F12" s="1" t="inlineStr">
        <is>
          <t>获得</t>
        </is>
      </c>
      <c r="G12" s="1" t="inlineStr">
        <is>
          <t>卖出价(元)</t>
        </is>
      </c>
      <c r="H12" s="1" t="inlineStr">
        <is>
          <t>利润(元)</t>
        </is>
      </c>
    </row>
    <row r="13" ht="16.5" customHeight="1" s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 ht="16.5" customHeight="1" s="13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 ht="16.5" customHeight="1" s="13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 ht="16.5" customHeight="1" s="13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 ht="16.5" customHeight="1" s="13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 ht="16.5" customHeight="1" s="13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 ht="16.5" customHeight="1" s="13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 ht="16.5" customHeight="1" s="13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 ht="16.5" customHeight="1" s="13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 ht="16.5" customHeight="1" s="13">
      <c r="A22" s="16" t="n"/>
      <c r="B22" s="16" t="n"/>
      <c r="C22" s="16" t="n"/>
      <c r="D22" s="16" t="n"/>
      <c r="E22" s="16" t="n"/>
      <c r="F22" s="16" t="n"/>
      <c r="G22" s="16" t="n"/>
      <c r="H22" s="16" t="n"/>
    </row>
  </sheetData>
  <mergeCells count="3">
    <mergeCell ref="A3:E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.5"/>
  <cols>
    <col width="14" customWidth="1" style="13" min="1" max="1"/>
    <col width="18" customWidth="1" style="13" min="2" max="2"/>
    <col width="14" customWidth="1" style="13" min="3" max="3"/>
    <col width="12" customWidth="1" style="13" min="4" max="4"/>
    <col width="14" customWidth="1" style="13" min="5" max="5"/>
    <col width="18" customWidth="1" style="13" min="6" max="6"/>
  </cols>
  <sheetData>
    <row r="1" ht="30" customHeight="1" s="13">
      <c r="A1" s="14" t="inlineStr">
        <is>
          <t>收支总账 — 年度盈亏（年费支出 vs 变现收入）</t>
        </is>
      </c>
    </row>
    <row r="3" ht="15" customHeight="1" s="13">
      <c r="A3" s="17" t="inlineStr">
        <is>
          <t>6A. 支出（年费）</t>
        </is>
      </c>
    </row>
    <row r="4" ht="15" customHeight="1" s="13">
      <c r="A4" s="7" t="inlineStr">
        <is>
          <t>银行</t>
        </is>
      </c>
      <c r="B4" s="7" t="inlineStr">
        <is>
          <t>卡种</t>
        </is>
      </c>
      <c r="C4" s="7" t="inlineStr">
        <is>
          <t>年费(元)</t>
        </is>
      </c>
      <c r="D4" s="7" t="inlineStr">
        <is>
          <t>类型</t>
        </is>
      </c>
      <c r="E4" s="7" t="inlineStr">
        <is>
          <t>26年实付</t>
        </is>
      </c>
      <c r="F4" s="7" t="inlineStr">
        <is>
          <t>备注</t>
        </is>
      </c>
    </row>
    <row r="5" ht="16.5" customHeight="1" s="13">
      <c r="A5" s="16" t="inlineStr">
        <is>
          <t>中信</t>
        </is>
      </c>
      <c r="B5" s="16" t="inlineStr">
        <is>
          <t>南航卡</t>
        </is>
      </c>
      <c r="C5" s="16" t="n">
        <v>480</v>
      </c>
      <c r="D5" s="16" t="inlineStr">
        <is>
          <t>刚性</t>
        </is>
      </c>
      <c r="E5" s="16" t="n">
        <v>480</v>
      </c>
      <c r="F5" s="16" t="inlineStr">
        <is>
          <t>已扣4月</t>
        </is>
      </c>
    </row>
    <row r="6" ht="16.5" customHeight="1" s="13">
      <c r="A6" s="16" t="inlineStr">
        <is>
          <t>交通</t>
        </is>
      </c>
      <c r="B6" s="16" t="inlineStr">
        <is>
          <t>东航卡</t>
        </is>
      </c>
      <c r="C6" s="16" t="n">
        <v>500</v>
      </c>
      <c r="D6" s="16" t="inlineStr">
        <is>
          <t>刚性</t>
        </is>
      </c>
      <c r="E6" s="16" t="inlineStr">
        <is>
          <t>—</t>
        </is>
      </c>
      <c r="F6" s="16" t="inlineStr">
        <is>
          <t>12月</t>
        </is>
      </c>
    </row>
    <row r="7" ht="16.5" customHeight="1" s="13">
      <c r="A7" s="16" t="inlineStr">
        <is>
          <t>兴业</t>
        </is>
      </c>
      <c r="B7" s="16" t="inlineStr">
        <is>
          <t>行悠白</t>
        </is>
      </c>
      <c r="C7" s="16" t="n">
        <v>900</v>
      </c>
      <c r="D7" s="16" t="inlineStr">
        <is>
          <t>刚性</t>
        </is>
      </c>
      <c r="E7" s="16" t="inlineStr">
        <is>
          <t>—</t>
        </is>
      </c>
      <c r="F7" s="16" t="inlineStr">
        <is>
          <t>8月，尝试减免</t>
        </is>
      </c>
    </row>
    <row r="8" ht="16.5" customHeight="1" s="13">
      <c r="A8" s="16" t="inlineStr">
        <is>
          <t>光大</t>
        </is>
      </c>
      <c r="B8" s="16" t="inlineStr">
        <is>
          <t>阳光车主</t>
        </is>
      </c>
      <c r="C8" s="16" t="n">
        <v>500</v>
      </c>
      <c r="D8" s="16" t="inlineStr">
        <is>
          <t>积分抵扣</t>
        </is>
      </c>
      <c r="E8" s="16" t="inlineStr">
        <is>
          <t>—</t>
        </is>
      </c>
      <c r="F8" s="16" t="inlineStr">
        <is>
          <t>10W积分</t>
        </is>
      </c>
    </row>
    <row r="9" ht="16.5" customHeight="1" s="13">
      <c r="A9" s="16" t="inlineStr">
        <is>
          <t>宁波</t>
        </is>
      </c>
      <c r="B9" s="16" t="inlineStr">
        <is>
          <t>菁英卡</t>
        </is>
      </c>
      <c r="C9" s="16" t="n">
        <v>1800</v>
      </c>
      <c r="D9" s="16" t="inlineStr">
        <is>
          <t>消费额度</t>
        </is>
      </c>
      <c r="E9" s="16" t="inlineStr">
        <is>
          <t>—</t>
        </is>
      </c>
      <c r="F9" s="16" t="inlineStr">
        <is>
          <t>18W</t>
        </is>
      </c>
    </row>
    <row r="10" ht="16.5" customHeight="1" s="13">
      <c r="A10" s="11" t="inlineStr">
        <is>
          <t>合计</t>
        </is>
      </c>
      <c r="B10" s="19" t="n"/>
      <c r="C10" s="11" t="n">
        <v>4180</v>
      </c>
      <c r="D10" s="11" t="n"/>
      <c r="E10" s="11" t="n">
        <v>480</v>
      </c>
      <c r="F10" s="11" t="n"/>
    </row>
    <row r="12" ht="15" customHeight="1" s="13">
      <c r="A12" s="17" t="inlineStr">
        <is>
          <t>6B. 收入（权益变现 + 券变现）</t>
        </is>
      </c>
    </row>
    <row r="13" ht="15" customHeight="1" s="13">
      <c r="A13" s="8" t="inlineStr">
        <is>
          <t>来源</t>
        </is>
      </c>
      <c r="B13" s="8" t="inlineStr">
        <is>
          <t>预估年收入</t>
        </is>
      </c>
      <c r="C13" s="8" t="inlineStr">
        <is>
          <t>26年已实现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</row>
    <row r="14" ht="16.5" customHeight="1" s="13">
      <c r="A14" s="16" t="inlineStr">
        <is>
          <t>权益变现</t>
        </is>
      </c>
      <c r="B14" s="16" t="inlineStr">
        <is>
          <t>2,850-4,988</t>
        </is>
      </c>
      <c r="C14" s="16" t="n">
        <v>0</v>
      </c>
    </row>
    <row r="15" ht="16.5" customHeight="1" s="13">
      <c r="A15" s="16" t="inlineStr">
        <is>
          <t>券变现</t>
        </is>
      </c>
      <c r="B15" s="16" t="inlineStr">
        <is>
          <t>—</t>
        </is>
      </c>
      <c r="C15" s="16" t="n">
        <v>0</v>
      </c>
    </row>
    <row r="16" ht="16.5" customHeight="1" s="13">
      <c r="A16" s="16" t="inlineStr">
        <is>
          <t>活动返现</t>
        </is>
      </c>
      <c r="B16" s="16" t="inlineStr">
        <is>
          <t>—</t>
        </is>
      </c>
      <c r="C16" s="16" t="n">
        <v>0</v>
      </c>
    </row>
    <row r="17" ht="16.5" customHeight="1" s="13">
      <c r="A17" s="11" t="inlineStr">
        <is>
          <t>合计</t>
        </is>
      </c>
      <c r="B17" s="11" t="inlineStr">
        <is>
          <t>2,850-4,988</t>
        </is>
      </c>
      <c r="C17" s="11" t="n">
        <v>0</v>
      </c>
      <c r="D17" s="9" t="n"/>
      <c r="E17" s="9" t="n"/>
      <c r="F17" s="9" t="n"/>
    </row>
    <row r="19" ht="15" customHeight="1" s="13">
      <c r="A19" s="17" t="inlineStr">
        <is>
          <t>6C. 盈亏汇总</t>
        </is>
      </c>
    </row>
    <row r="20" ht="15" customHeight="1" s="13">
      <c r="A20" s="1" t="inlineStr">
        <is>
          <t>项目</t>
        </is>
      </c>
      <c r="B20" s="1" t="inlineStr">
        <is>
          <t>金额</t>
        </is>
      </c>
      <c r="C20" s="1" t="inlineStr">
        <is>
          <t>—</t>
        </is>
      </c>
      <c r="D20" s="1" t="inlineStr">
        <is>
          <t>—</t>
        </is>
      </c>
      <c r="E20" s="1" t="inlineStr">
        <is>
          <t>—</t>
        </is>
      </c>
      <c r="F20" s="1" t="inlineStr">
        <is>
          <t>—</t>
        </is>
      </c>
    </row>
    <row r="21" ht="16.5" customHeight="1" s="13">
      <c r="A21" s="16" t="inlineStr">
        <is>
          <t>总支出（年费）</t>
        </is>
      </c>
      <c r="B21" s="16" t="inlineStr">
        <is>
          <t>4,180 元</t>
        </is>
      </c>
    </row>
    <row r="22" ht="16.5" customHeight="1" s="13">
      <c r="A22" s="16" t="inlineStr">
        <is>
          <t>预估收入</t>
        </is>
      </c>
      <c r="B22" s="16" t="inlineStr">
        <is>
          <t>2,850-4,988 元</t>
        </is>
      </c>
    </row>
    <row r="23" ht="16.5" customHeight="1" s="13">
      <c r="A23" s="16" t="inlineStr">
        <is>
          <t>预估净盈亏</t>
        </is>
      </c>
      <c r="B23" s="16" t="inlineStr">
        <is>
          <t>-1,330 ~ +808 元</t>
        </is>
      </c>
    </row>
    <row r="25" ht="15.75" customHeight="1" s="13">
      <c r="A25" s="12" t="inlineStr">
        <is>
          <t>目标：收入覆盖刚性年费（中信480+交通500+兴业900=1,880），剩余积分/消费类年费靠刷卡自然达标。</t>
        </is>
      </c>
    </row>
  </sheetData>
  <mergeCells count="6">
    <mergeCell ref="A19:F19"/>
    <mergeCell ref="A1:F1"/>
    <mergeCell ref="A10:B10"/>
    <mergeCell ref="A12:F12"/>
    <mergeCell ref="A3:F3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0" customWidth="1" style="13" min="1" max="1"/>
    <col width="12" customWidth="1" style="13" min="2" max="2"/>
    <col width="10" customWidth="1" style="13" min="3" max="5"/>
    <col width="8" customWidth="1" style="13" min="6" max="6"/>
    <col width="10" customWidth="1" style="13" min="7" max="8"/>
  </cols>
  <sheetData>
    <row r="1" ht="30" customHeight="1" s="13">
      <c r="A1" s="14" t="inlineStr">
        <is>
          <t>积分余额 — 各卡积分追踪</t>
        </is>
      </c>
    </row>
    <row r="2" ht="15.75" customHeight="1" s="13">
      <c r="A2" s="12" t="inlineStr">
        <is>
          <t>待补充：当前积分余额数据，后续提供具体值 → 填入「当前余额」列</t>
        </is>
      </c>
    </row>
    <row r="3" ht="15" customHeight="1" s="13">
      <c r="A3" s="1" t="inlineStr">
        <is>
          <t>银行</t>
        </is>
      </c>
      <c r="B3" s="1" t="inlineStr">
        <is>
          <t>卡种</t>
        </is>
      </c>
      <c r="C3" s="1" t="inlineStr">
        <is>
          <t>积分类型</t>
        </is>
      </c>
      <c r="D3" s="1" t="inlineStr">
        <is>
          <t>当前余额</t>
        </is>
      </c>
      <c r="E3" s="1" t="inlineStr">
        <is>
          <t>兑换所需</t>
        </is>
      </c>
      <c r="F3" s="1" t="inlineStr">
        <is>
          <t>缺口</t>
        </is>
      </c>
      <c r="G3" s="1" t="inlineStr">
        <is>
          <t>用途</t>
        </is>
      </c>
      <c r="H3" s="1" t="inlineStr">
        <is>
          <t>更新日期</t>
        </is>
      </c>
    </row>
    <row r="4" ht="16.5" customHeight="1" s="13">
      <c r="A4" s="16" t="inlineStr">
        <is>
          <t>建行</t>
        </is>
      </c>
      <c r="B4" s="16" t="inlineStr">
        <is>
          <t>大山白</t>
        </is>
      </c>
      <c r="C4" s="16" t="inlineStr">
        <is>
          <t>综合积分</t>
        </is>
      </c>
      <c r="D4" s="16" t="inlineStr">
        <is>
          <t>—</t>
        </is>
      </c>
      <c r="E4" s="16" t="n">
        <v>400000</v>
      </c>
      <c r="F4" s="16" t="inlineStr">
        <is>
          <t>—</t>
        </is>
      </c>
      <c r="G4" s="16" t="inlineStr">
        <is>
          <t>年费</t>
        </is>
      </c>
      <c r="H4" s="16" t="inlineStr">
        <is>
          <t>—</t>
        </is>
      </c>
    </row>
    <row r="5" ht="16.5" customHeight="1" s="13">
      <c r="A5" s="16" t="inlineStr">
        <is>
          <t>邮储</t>
        </is>
      </c>
      <c r="B5" s="16" t="inlineStr">
        <is>
          <t>鼎致白</t>
        </is>
      </c>
      <c r="C5" s="16" t="inlineStr">
        <is>
          <t>综合积分</t>
        </is>
      </c>
      <c r="D5" s="16" t="inlineStr">
        <is>
          <t>—</t>
        </is>
      </c>
      <c r="E5" s="16" t="n">
        <v>200000</v>
      </c>
      <c r="F5" s="16" t="inlineStr">
        <is>
          <t>—</t>
        </is>
      </c>
      <c r="G5" s="16" t="inlineStr">
        <is>
          <t>年费</t>
        </is>
      </c>
      <c r="H5" s="16" t="inlineStr">
        <is>
          <t>—</t>
        </is>
      </c>
    </row>
    <row r="6" ht="16.5" customHeight="1" s="13">
      <c r="A6" s="16" t="inlineStr">
        <is>
          <t>光大</t>
        </is>
      </c>
      <c r="B6" s="16" t="inlineStr">
        <is>
          <t>阳光车主</t>
        </is>
      </c>
      <c r="C6" s="16" t="inlineStr">
        <is>
          <t>综合积分</t>
        </is>
      </c>
      <c r="D6" s="16" t="inlineStr">
        <is>
          <t>—</t>
        </is>
      </c>
      <c r="E6" s="16" t="n">
        <v>100000</v>
      </c>
      <c r="F6" s="16" t="inlineStr">
        <is>
          <t>—</t>
        </is>
      </c>
      <c r="G6" s="16" t="inlineStr">
        <is>
          <t>年费</t>
        </is>
      </c>
      <c r="H6" s="16" t="inlineStr">
        <is>
          <t>—</t>
        </is>
      </c>
    </row>
    <row r="7" ht="16.5" customHeight="1" s="13">
      <c r="A7" s="16" t="inlineStr">
        <is>
          <t>民生</t>
        </is>
      </c>
      <c r="B7" s="16" t="inlineStr">
        <is>
          <t>百夫长</t>
        </is>
      </c>
      <c r="C7" s="16" t="inlineStr">
        <is>
          <t>综合积分</t>
        </is>
      </c>
      <c r="D7" s="16" t="inlineStr">
        <is>
          <t>—</t>
        </is>
      </c>
      <c r="E7" s="16" t="n">
        <v>200000</v>
      </c>
      <c r="F7" s="16" t="inlineStr">
        <is>
          <t>—</t>
        </is>
      </c>
      <c r="G7" s="16" t="inlineStr">
        <is>
          <t>年费</t>
        </is>
      </c>
      <c r="H7" s="16" t="inlineStr">
        <is>
          <t>—</t>
        </is>
      </c>
    </row>
    <row r="8" ht="16.5" customHeight="1" s="13">
      <c r="A8" s="16" t="inlineStr">
        <is>
          <t>农行</t>
        </is>
      </c>
      <c r="B8" s="16" t="inlineStr">
        <is>
          <t>精粹白</t>
        </is>
      </c>
      <c r="C8" s="16" t="inlineStr">
        <is>
          <t>综合积分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里程</t>
        </is>
      </c>
      <c r="H8" s="16" t="inlineStr">
        <is>
          <t>—</t>
        </is>
      </c>
    </row>
    <row r="9" ht="16.5" customHeight="1" s="13">
      <c r="A9" s="16" t="inlineStr">
        <is>
          <t>广发</t>
        </is>
      </c>
      <c r="B9" s="16" t="inlineStr">
        <is>
          <t>尊旅卡</t>
        </is>
      </c>
      <c r="C9" s="16" t="inlineStr">
        <is>
          <t>综合积分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里程</t>
        </is>
      </c>
      <c r="H9" s="16" t="inlineStr">
        <is>
          <t>—</t>
        </is>
      </c>
    </row>
    <row r="10" ht="16.5" customHeight="1" s="13">
      <c r="A10" s="16" t="inlineStr">
        <is>
          <t>北京</t>
        </is>
      </c>
      <c r="B10" s="16" t="inlineStr">
        <is>
          <t>京彩卡</t>
        </is>
      </c>
      <c r="C10" s="16" t="inlineStr">
        <is>
          <t>综合积分</t>
        </is>
      </c>
      <c r="D10" s="16" t="inlineStr">
        <is>
          <t>—</t>
        </is>
      </c>
      <c r="E10" s="16" t="inlineStr">
        <is>
          <t>—</t>
        </is>
      </c>
      <c r="F10" s="16" t="inlineStr">
        <is>
          <t>—</t>
        </is>
      </c>
      <c r="G10" s="16" t="inlineStr">
        <is>
          <t>国航里程</t>
        </is>
      </c>
      <c r="H10" s="16" t="inlineStr">
        <is>
          <t>—</t>
        </is>
      </c>
    </row>
  </sheetData>
  <mergeCells count="2">
    <mergeCell ref="A2:H2"/>
    <mergeCell ref="A1:H1"/>
  </mergeCells>
  <conditionalFormatting sqref="F4:F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13" min="1" max="1"/>
    <col width="10" customWidth="1" style="13" min="2" max="2"/>
    <col width="12" customWidth="1" style="13" min="3" max="3"/>
    <col width="40" customWidth="1" style="13" min="4" max="4"/>
    <col width="10" customWidth="1" style="13" min="5" max="5"/>
    <col width="20" customWidth="1" style="13" min="6" max="6"/>
  </cols>
  <sheetData>
    <row r="1" ht="30" customHeight="1" s="13">
      <c r="A1" s="20" t="inlineStr">
        <is>
          <t>日常记录 — 申请二卡、提额、销卡等操作记录</t>
        </is>
      </c>
    </row>
    <row r="2" ht="25" customHeight="1" s="13">
      <c r="A2" s="21" t="inlineStr">
        <is>
          <t>日期</t>
        </is>
      </c>
      <c r="B2" s="21" t="inlineStr">
        <is>
          <t>银行</t>
        </is>
      </c>
      <c r="C2" s="21" t="inlineStr">
        <is>
          <t>操作类型</t>
        </is>
      </c>
      <c r="D2" s="21" t="inlineStr">
        <is>
          <t>操作详情</t>
        </is>
      </c>
      <c r="E2" s="21" t="inlineStr">
        <is>
          <t>结果</t>
        </is>
      </c>
      <c r="F2" s="21" t="inlineStr">
        <is>
          <t>备注</t>
        </is>
      </c>
    </row>
    <row r="3" ht="22" customHeight="1" s="13">
      <c r="A3" s="22" t="inlineStr">
        <is>
          <t>2025-08-15</t>
        </is>
      </c>
      <c r="B3" s="22" t="inlineStr">
        <is>
          <t>工商</t>
        </is>
      </c>
      <c r="C3" s="22" t="inlineStr">
        <is>
          <t>申请二卡</t>
        </is>
      </c>
      <c r="D3" s="22" t="inlineStr">
        <is>
          <t>申请提额至10W</t>
        </is>
      </c>
      <c r="E3" s="22" t="inlineStr">
        <is>
          <t>✅成功</t>
        </is>
      </c>
      <c r="F3" s="22" t="inlineStr">
        <is>
          <t>10W额度获批</t>
        </is>
      </c>
    </row>
    <row r="4" ht="22" customHeight="1" s="13">
      <c r="A4" s="22" t="inlineStr">
        <is>
          <t>2025-12-07</t>
        </is>
      </c>
      <c r="B4" s="22" t="inlineStr">
        <is>
          <t>广发</t>
        </is>
      </c>
      <c r="C4" s="22" t="inlineStr">
        <is>
          <t>申请二卡</t>
        </is>
      </c>
      <c r="D4" s="22" t="inlineStr">
        <is>
          <t>自动出现额度，直接申请</t>
        </is>
      </c>
      <c r="E4" s="22" t="inlineStr">
        <is>
          <t>✅成功</t>
        </is>
      </c>
      <c r="F4" s="22" t="inlineStr">
        <is>
          <t>申请的是VISA卡！</t>
        </is>
      </c>
    </row>
    <row r="5" ht="22" customHeight="1" s="13">
      <c r="A5" s="22" t="inlineStr">
        <is>
          <t>2025-12-07</t>
        </is>
      </c>
      <c r="B5" s="22" t="inlineStr">
        <is>
          <t>建行</t>
        </is>
      </c>
      <c r="C5" s="22" t="inlineStr">
        <is>
          <t>申请提额</t>
        </is>
      </c>
      <c r="D5" s="22" t="inlineStr">
        <is>
          <t>申请提额</t>
        </is>
      </c>
      <c r="E5" s="22" t="inlineStr">
        <is>
          <t>❌拒绝</t>
        </is>
      </c>
      <c r="F5" s="22" t="inlineStr">
        <is>
          <t>—</t>
        </is>
      </c>
    </row>
    <row r="6" ht="22" customHeight="1" s="13">
      <c r="A6" s="22" t="inlineStr">
        <is>
          <t>—</t>
        </is>
      </c>
      <c r="B6" s="22" t="inlineStr">
        <is>
          <t>招商</t>
        </is>
      </c>
      <c r="C6" s="22" t="inlineStr">
        <is>
          <t>办理二卡</t>
        </is>
      </c>
      <c r="D6" s="22" t="inlineStr">
        <is>
          <t>—</t>
        </is>
      </c>
      <c r="E6" s="22" t="inlineStr">
        <is>
          <t>待记录</t>
        </is>
      </c>
      <c r="F6" s="22" t="inlineStr">
        <is>
          <t>—</t>
        </is>
      </c>
    </row>
    <row r="7" ht="22" customHeight="1" s="13">
      <c r="A7" s="22" t="inlineStr">
        <is>
          <t>—</t>
        </is>
      </c>
      <c r="B7" s="22" t="inlineStr">
        <is>
          <t>中信</t>
        </is>
      </c>
      <c r="C7" s="22" t="inlineStr">
        <is>
          <t>办理二卡</t>
        </is>
      </c>
      <c r="D7" s="22" t="inlineStr">
        <is>
          <t>—</t>
        </is>
      </c>
      <c r="E7" s="22" t="inlineStr">
        <is>
          <t>待记录</t>
        </is>
      </c>
      <c r="F7" s="22" t="inlineStr">
        <is>
          <t>—</t>
        </is>
      </c>
    </row>
    <row r="8" ht="22" customHeight="1" s="13">
      <c r="A8" s="22" t="inlineStr">
        <is>
          <t>—</t>
        </is>
      </c>
      <c r="B8" s="22" t="inlineStr">
        <is>
          <t>中信</t>
        </is>
      </c>
      <c r="C8" s="22" t="inlineStr">
        <is>
          <t>提额</t>
        </is>
      </c>
      <c r="D8" s="22" t="inlineStr">
        <is>
          <t>APP人工提额度，授权了个税记录</t>
        </is>
      </c>
      <c r="E8" s="22" t="inlineStr">
        <is>
          <t>待结果</t>
        </is>
      </c>
      <c r="F8" s="22" t="inlineStr">
        <is>
          <t>—</t>
        </is>
      </c>
    </row>
    <row r="9" ht="22" customHeight="1" s="13">
      <c r="A9" s="22" t="inlineStr">
        <is>
          <t>—</t>
        </is>
      </c>
      <c r="B9" s="22" t="inlineStr">
        <is>
          <t>农行</t>
        </is>
      </c>
      <c r="C9" s="22" t="inlineStr">
        <is>
          <t>申请提额</t>
        </is>
      </c>
      <c r="D9" s="22" t="inlineStr">
        <is>
          <t>申请12W</t>
        </is>
      </c>
      <c r="E9" s="22" t="inlineStr">
        <is>
          <t>❌未通过</t>
        </is>
      </c>
      <c r="F9" s="22" t="inlineStr">
        <is>
          <t>—</t>
        </is>
      </c>
    </row>
    <row r="10" ht="22" customHeight="1" s="13">
      <c r="A10" s="22" t="inlineStr">
        <is>
          <t>—</t>
        </is>
      </c>
      <c r="B10" s="22" t="inlineStr">
        <is>
          <t>农行</t>
        </is>
      </c>
      <c r="C10" s="22" t="inlineStr">
        <is>
          <t>申请提额</t>
        </is>
      </c>
      <c r="D10" s="22" t="inlineStr">
        <is>
          <t>再次申请15W</t>
        </is>
      </c>
      <c r="E10" s="22" t="inlineStr">
        <is>
          <t>❌未通过</t>
        </is>
      </c>
      <c r="F10" s="22" t="inlineStr">
        <is>
          <t>—</t>
        </is>
      </c>
    </row>
    <row r="11" ht="22" customHeight="1" s="13">
      <c r="A11" s="22" t="inlineStr">
        <is>
          <t>2026-06</t>
        </is>
      </c>
      <c r="B11" s="22" t="inlineStr">
        <is>
          <t>农行</t>
        </is>
      </c>
      <c r="C11" s="22" t="inlineStr">
        <is>
          <t>申请提额</t>
        </is>
      </c>
      <c r="D11" s="22" t="inlineStr">
        <is>
          <t>申请10W</t>
        </is>
      </c>
      <c r="E11" s="22" t="inlineStr">
        <is>
          <t>❌未通过</t>
        </is>
      </c>
      <c r="F11" s="22" t="inlineStr">
        <is>
          <t>—</t>
        </is>
      </c>
    </row>
    <row r="12" ht="22" customHeight="1" s="13">
      <c r="A12" s="22" t="inlineStr">
        <is>
          <t>—</t>
        </is>
      </c>
      <c r="B12" s="22" t="inlineStr">
        <is>
          <t>光大</t>
        </is>
      </c>
      <c r="C12" s="22" t="inlineStr">
        <is>
          <t>申请二卡</t>
        </is>
      </c>
      <c r="D12" s="22" t="inlineStr">
        <is>
          <t>没有申请按钮，需要分期？</t>
        </is>
      </c>
      <c r="E12" s="22" t="inlineStr">
        <is>
          <t>待确认</t>
        </is>
      </c>
      <c r="F12" s="22" t="inlineStr">
        <is>
          <t>—</t>
        </is>
      </c>
    </row>
    <row r="13" ht="22" customHeight="1" s="13">
      <c r="A13" s="22" t="inlineStr">
        <is>
          <t>—</t>
        </is>
      </c>
      <c r="B13" s="22" t="inlineStr">
        <is>
          <t>邮储</t>
        </is>
      </c>
      <c r="C13" s="22" t="inlineStr">
        <is>
          <t>申请二卡</t>
        </is>
      </c>
      <c r="D13" s="22" t="inlineStr">
        <is>
          <t>没有申请按钮，需要分期？</t>
        </is>
      </c>
      <c r="E13" s="22" t="inlineStr">
        <is>
          <t>待确认</t>
        </is>
      </c>
      <c r="F13" s="22" t="inlineStr">
        <is>
          <t>—</t>
        </is>
      </c>
    </row>
  </sheetData>
  <mergeCells count="1">
    <mergeCell ref="A1:F1"/>
  </mergeCells>
  <conditionalFormatting sqref="E3:E13">
    <cfRule type="cellIs" priority="1" operator="equal" dxfId="8">
      <formula>"✅*"</formula>
    </cfRule>
    <cfRule type="cellIs" priority="2" operator="equal" dxfId="9">
      <formula>"❌*"</formula>
    </cfRule>
    <cfRule type="cellIs" priority="3" operator="equal" dxfId="10">
      <formula>"待*"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2026-06-07T04:09:43Z</dcterms:created>
  <dcterms:modified xmlns:dcterms="http://purl.org/dc/terms/" xmlns:xsi="http://www.w3.org/2001/XMLSchema-instance" xsi:type="dcterms:W3CDTF">2026-06-07T08:17:48Z</dcterms:modified>
  <cp:lastModifiedBy>wei han</cp:lastModifiedBy>
</cp:coreProperties>
</file>