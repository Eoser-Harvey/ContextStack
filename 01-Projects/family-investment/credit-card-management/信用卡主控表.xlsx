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Group\AI\ContextStack\01-Projects\family-investment\credit-card-management\"/>
    </mc:Choice>
  </mc:AlternateContent>
  <bookViews>
    <workbookView xWindow="0" yWindow="0" windowWidth="28800" windowHeight="11565" activeTab="7"/>
  </bookViews>
  <sheets>
    <sheet name="1-卡片信息" sheetId="1" r:id="rId1"/>
    <sheet name="2-年费追踪" sheetId="2" r:id="rId2"/>
    <sheet name="3-0账单日历" sheetId="3" r:id="rId3"/>
    <sheet name="4-权益变现" sheetId="4" r:id="rId4"/>
    <sheet name="5-活动与券" sheetId="5" r:id="rId5"/>
    <sheet name="6-收支总账" sheetId="6" r:id="rId6"/>
    <sheet name="7-积分余额" sheetId="7" r:id="rId7"/>
    <sheet name="日常记录" sheetId="8" r:id="rId8"/>
  </sheets>
  <definedNames>
    <definedName name="_xlnm._FilterDatabase" localSheetId="0" hidden="1">'1-卡片信息'!$A$2:$G$19</definedName>
  </definedNames>
  <calcPr calcId="162913"/>
</workbook>
</file>

<file path=xl/calcChain.xml><?xml version="1.0" encoding="utf-8"?>
<calcChain xmlns="http://schemas.openxmlformats.org/spreadsheetml/2006/main">
  <c r="F38" i="1" l="1"/>
  <c r="E38" i="1"/>
  <c r="E11" i="6" l="1"/>
  <c r="C11" i="6"/>
  <c r="E17" i="4"/>
  <c r="D17" i="4"/>
  <c r="C17" i="4"/>
</calcChain>
</file>

<file path=xl/sharedStrings.xml><?xml version="1.0" encoding="utf-8"?>
<sst xmlns="http://schemas.openxmlformats.org/spreadsheetml/2006/main" count="963" uniqueCount="344">
  <si>
    <t>信用卡卡片总览 — 韩伟</t>
  </si>
  <si>
    <t>序号</t>
  </si>
  <si>
    <t>银行</t>
  </si>
  <si>
    <t>卡种</t>
  </si>
  <si>
    <t>卡号后4位</t>
  </si>
  <si>
    <t>申卡额度</t>
  </si>
  <si>
    <t>当前额度</t>
  </si>
  <si>
    <t>账单日</t>
  </si>
  <si>
    <t>办卡心得</t>
  </si>
  <si>
    <t>兴业</t>
  </si>
  <si>
    <t>行悠白</t>
  </si>
  <si>
    <t>—</t>
  </si>
  <si>
    <t>5日</t>
  </si>
  <si>
    <t>平安</t>
  </si>
  <si>
    <t>精英白</t>
  </si>
  <si>
    <t>7日</t>
  </si>
  <si>
    <t>宁波</t>
  </si>
  <si>
    <t>菁英卡</t>
  </si>
  <si>
    <t>8日</t>
  </si>
  <si>
    <t>农行</t>
  </si>
  <si>
    <t>精粹白</t>
  </si>
  <si>
    <t>10日</t>
  </si>
  <si>
    <t>交通</t>
  </si>
  <si>
    <t>东航航空卡</t>
  </si>
  <si>
    <t>13日</t>
  </si>
  <si>
    <t>不建议办理；</t>
  </si>
  <si>
    <t>招商</t>
  </si>
  <si>
    <t>飞鸟白</t>
  </si>
  <si>
    <t>15日</t>
  </si>
  <si>
    <t>中信</t>
  </si>
  <si>
    <t>南航航空卡</t>
  </si>
  <si>
    <t>17日</t>
  </si>
  <si>
    <t>1）南方航航里程比东航值钱，兑换机票很方便；</t>
  </si>
  <si>
    <t>民生</t>
  </si>
  <si>
    <t>百夫长</t>
  </si>
  <si>
    <t>19日</t>
  </si>
  <si>
    <t>邮储</t>
  </si>
  <si>
    <t>鼎致白</t>
  </si>
  <si>
    <t>20日</t>
  </si>
  <si>
    <t>浦发</t>
  </si>
  <si>
    <t>22日</t>
  </si>
  <si>
    <t>中国银行</t>
  </si>
  <si>
    <t>建行</t>
  </si>
  <si>
    <t>大山白</t>
  </si>
  <si>
    <t>23日</t>
  </si>
  <si>
    <t>广发</t>
  </si>
  <si>
    <t>尊旅卡</t>
  </si>
  <si>
    <t>25日</t>
  </si>
  <si>
    <t>光大</t>
  </si>
  <si>
    <t>阳光车主</t>
  </si>
  <si>
    <t>工商</t>
  </si>
  <si>
    <t>大白</t>
  </si>
  <si>
    <t>26日</t>
  </si>
  <si>
    <t>北京</t>
  </si>
  <si>
    <t>京彩卡</t>
  </si>
  <si>
    <t>27日</t>
  </si>
  <si>
    <t>合计（16张）</t>
  </si>
  <si>
    <t>条件格式：✅=绿色(已达标) | ⚠️=黄色(进行中) | ❌=红色(未完成) | 待补充：卡号后4位、爱人卡片</t>
  </si>
  <si>
    <t>信用卡卡片总览 — 爱人</t>
  </si>
  <si>
    <t>普通白金卡</t>
  </si>
  <si>
    <t>交通银行</t>
  </si>
  <si>
    <t>沃德白</t>
  </si>
  <si>
    <t>【已办理】年费500→15W积分兑；权益：代驾6次(可卖)/贵宾室6+6次</t>
  </si>
  <si>
    <t>挚爱家庭卡</t>
  </si>
  <si>
    <t>年费580→20W积分兑(1/18收)；权益：接送机2次/挂号6次/代驾4次(可卖30km)</t>
  </si>
  <si>
    <t>工商银行</t>
  </si>
  <si>
    <t>年费：12笔+5000元免(11/22前)；无特别权益</t>
  </si>
  <si>
    <t>【待申请】首年免费/次年48笔免；10:1兑国航东航川航/15:1兑南航亚万；生日月双倍</t>
  </si>
  <si>
    <t>北京银行</t>
  </si>
  <si>
    <t>【待申请】年费600/5笔免；凤凰知音5W公里/年</t>
  </si>
  <si>
    <t>南航卡</t>
  </si>
  <si>
    <t>【待办】</t>
  </si>
  <si>
    <t>南航白金卡</t>
  </si>
  <si>
    <t>合计（9张）</t>
  </si>
  <si>
    <t>合计（X张）</t>
  </si>
  <si>
    <t>年费追踪 — 按4种类型分组</t>
  </si>
  <si>
    <t>A. 积分抵扣类</t>
  </si>
  <si>
    <t>所需积分</t>
  </si>
  <si>
    <t>当前积分</t>
  </si>
  <si>
    <t>缺口</t>
  </si>
  <si>
    <t>最佳攒分方式</t>
  </si>
  <si>
    <t>兑换截止</t>
  </si>
  <si>
    <t>2026状态</t>
  </si>
  <si>
    <t>备注</t>
  </si>
  <si>
    <t>龙支付3倍\支付宝2倍</t>
  </si>
  <si>
    <t>年底</t>
  </si>
  <si>
    <t>✅</t>
  </si>
  <si>
    <t>银行APP直接搜索年费查询</t>
  </si>
  <si>
    <t>生日双倍</t>
  </si>
  <si>
    <t>2月</t>
  </si>
  <si>
    <t>微信5/10倍活动</t>
  </si>
  <si>
    <t>⚠️</t>
  </si>
  <si>
    <t>支付宝</t>
  </si>
  <si>
    <t>4月</t>
  </si>
  <si>
    <t>26年是打客服电话问的
积分够自动抵扣</t>
  </si>
  <si>
    <t>B. 刷卡笔数类</t>
  </si>
  <si>
    <t>年度目标</t>
  </si>
  <si>
    <t>已完成</t>
  </si>
  <si>
    <t>截止月</t>
  </si>
  <si>
    <t>30笔</t>
  </si>
  <si>
    <t>APP购买微信多倍积分</t>
  </si>
  <si>
    <t>银行APP-信用卡-全部功能-年费查询</t>
  </si>
  <si>
    <t>48笔</t>
  </si>
  <si>
    <t>12笔+5000元</t>
  </si>
  <si>
    <t>5笔</t>
  </si>
  <si>
    <t>掌上精彩-我的-银行卡-年费</t>
  </si>
  <si>
    <t>15笔|10000元</t>
  </si>
  <si>
    <t>工银e生活-搜索年费</t>
  </si>
  <si>
    <t>6笔</t>
  </si>
  <si>
    <t>浦大喜奔-搜索年费</t>
  </si>
  <si>
    <t>C. 消费额度类</t>
  </si>
  <si>
    <t>当前进度</t>
  </si>
  <si>
    <t>8W</t>
  </si>
  <si>
    <t>26年是打客服电话问的</t>
  </si>
  <si>
    <t>12W</t>
  </si>
  <si>
    <t>8月</t>
  </si>
  <si>
    <t>18W</t>
  </si>
  <si>
    <t>26年是刚性收取1800，后续可以APP搜索年费查询</t>
  </si>
  <si>
    <t>D. 刚性年费类</t>
  </si>
  <si>
    <t>年费</t>
  </si>
  <si>
    <t>收取时间</t>
  </si>
  <si>
    <t>权益价值</t>
  </si>
  <si>
    <t>是否保留</t>
  </si>
  <si>
    <t>4月24日</t>
  </si>
  <si>
    <t>南航里程</t>
  </si>
  <si>
    <t>保留</t>
  </si>
  <si>
    <t>东航卡</t>
  </si>
  <si>
    <t>12月30日</t>
  </si>
  <si>
    <t>东航里程+代驾</t>
  </si>
  <si>
    <t>沃德用户年费减半是500</t>
  </si>
  <si>
    <t>8月26日</t>
  </si>
  <si>
    <t>接送机+贵宾厅</t>
  </si>
  <si>
    <t>待评估</t>
  </si>
  <si>
    <t>12378投诉 申请减免年费</t>
  </si>
  <si>
    <t>计划26年7月申请注销</t>
  </si>
  <si>
    <t>到期提醒说明：橙色=即将到期（1个月内）| 黄色=未到但需关注 | 绿色=已完成/已过</t>
  </si>
  <si>
    <t>❀ 爱人 — 年费追踪</t>
  </si>
  <si>
    <t>25W</t>
  </si>
  <si>
    <t>2倍积分攒分</t>
  </si>
  <si>
    <t>10月19日</t>
  </si>
  <si>
    <t>可兑航空里程</t>
  </si>
  <si>
    <t>15W</t>
  </si>
  <si>
    <t>生日月2倍+当日5倍</t>
  </si>
  <si>
    <t>5月13日</t>
  </si>
  <si>
    <t>沃德不满可人工要回</t>
  </si>
  <si>
    <t>20W</t>
  </si>
  <si>
    <t>支付宝活动</t>
  </si>
  <si>
    <t>1月18日</t>
  </si>
  <si>
    <t>15笔|1W</t>
  </si>
  <si>
    <t>11月22日</t>
  </si>
  <si>
    <t>无特别权益</t>
  </si>
  <si>
    <t>📋待申请</t>
  </si>
  <si>
    <t>绑支付宝/微信也算</t>
  </si>
  <si>
    <t>C. 待办（待申请后归类）</t>
  </si>
  <si>
    <t>📋待办</t>
  </si>
  <si>
    <t>0账单还款日历 — 账单日=还款日，当天还清</t>
  </si>
  <si>
    <t>规则：账单日 = 还款日，当天还清 → 征信报告显示0账单 | 操作：手机日历设提醒 → 当天云闪付还款 → Excel打✅</t>
  </si>
  <si>
    <t>还款金额</t>
  </si>
  <si>
    <t>本月已还</t>
  </si>
  <si>
    <t>⬜</t>
  </si>
  <si>
    <t>实际27号</t>
  </si>
  <si>
    <t>注意：部分银行账单日当天还款可能T+1入账，需测试各银行。</t>
  </si>
  <si>
    <t>❀ 爱人 — 还款日历</t>
  </si>
  <si>
    <t>年费收取日，账单日待确认</t>
  </si>
  <si>
    <t>账单日待确认</t>
  </si>
  <si>
    <t>待确认</t>
  </si>
  <si>
    <t>权益变现 — 库存管理 + 变现流水</t>
  </si>
  <si>
    <t>4A. 权益库存（可卖权益汇总）</t>
  </si>
  <si>
    <t>权益</t>
  </si>
  <si>
    <t>年度总量</t>
  </si>
  <si>
    <t>已卖出</t>
  </si>
  <si>
    <t>剩余</t>
  </si>
  <si>
    <t>市场价(元)</t>
  </si>
  <si>
    <t>预估收入</t>
  </si>
  <si>
    <t>限制</t>
  </si>
  <si>
    <t>接送机</t>
  </si>
  <si>
    <t>80-120</t>
  </si>
  <si>
    <t>240-360</t>
  </si>
  <si>
    <t>100km, 实名</t>
  </si>
  <si>
    <t>龙腾贵宾厅</t>
  </si>
  <si>
    <t>50-80</t>
  </si>
  <si>
    <t>250-400</t>
  </si>
  <si>
    <t>实名</t>
  </si>
  <si>
    <t>代驾</t>
  </si>
  <si>
    <t>50-108</t>
  </si>
  <si>
    <t>300-648</t>
  </si>
  <si>
    <t>40km, 无实名</t>
  </si>
  <si>
    <t>160-240</t>
  </si>
  <si>
    <t>无实名</t>
  </si>
  <si>
    <t>机场贵宾厅</t>
  </si>
  <si>
    <t>200-320</t>
  </si>
  <si>
    <t>高铁贵宾厅</t>
  </si>
  <si>
    <t>300-480</t>
  </si>
  <si>
    <t>可吃饭,可带人</t>
  </si>
  <si>
    <t>龙腾休息室</t>
  </si>
  <si>
    <t>80-100</t>
  </si>
  <si>
    <t>境内接送机</t>
  </si>
  <si>
    <t>320-480</t>
  </si>
  <si>
    <t>境内</t>
  </si>
  <si>
    <t>境外接送机</t>
  </si>
  <si>
    <t>200+</t>
  </si>
  <si>
    <t>400+</t>
  </si>
  <si>
    <t>境外</t>
  </si>
  <si>
    <t>休息室</t>
  </si>
  <si>
    <t>N</t>
  </si>
  <si>
    <t>50/次</t>
  </si>
  <si>
    <t>100积点/次</t>
  </si>
  <si>
    <t>合计</t>
  </si>
  <si>
    <t>3,150-5,468 元</t>
  </si>
  <si>
    <t>4B. 变现流水</t>
  </si>
  <si>
    <t>日期</t>
  </si>
  <si>
    <t>售价(元)</t>
  </si>
  <si>
    <t>买家</t>
  </si>
  <si>
    <t>状态</t>
  </si>
  <si>
    <t>❀ 爱人 — 权益库存</t>
  </si>
  <si>
    <t>权益名称</t>
  </si>
  <si>
    <t>总次数</t>
  </si>
  <si>
    <t>已用</t>
  </si>
  <si>
    <t>市场价/次</t>
  </si>
  <si>
    <t>可变现</t>
  </si>
  <si>
    <t>贵宾厅/餐厅/快速通道</t>
  </si>
  <si>
    <t>✅可卖</t>
  </si>
  <si>
    <t>不需付费</t>
  </si>
  <si>
    <t>299酒店</t>
  </si>
  <si>
    <t>299元/晚</t>
  </si>
  <si>
    <t>✅虚拟单卖</t>
  </si>
  <si>
    <t>贵宾室(龙腾)</t>
  </si>
  <si>
    <t>❌仅自用</t>
  </si>
  <si>
    <t>6+6次</t>
  </si>
  <si>
    <t>机场接送</t>
  </si>
  <si>
    <t>30km</t>
  </si>
  <si>
    <t>挂号</t>
  </si>
  <si>
    <t>活动与券 — 固定活动日历 + 变现流水</t>
  </si>
  <si>
    <t>5A. 固定活动日历</t>
  </si>
  <si>
    <t>时间</t>
  </si>
  <si>
    <t>活动</t>
  </si>
  <si>
    <t>操作</t>
  </si>
  <si>
    <t>提醒</t>
  </si>
  <si>
    <t>每月1号</t>
  </si>
  <si>
    <t>微信多倍积分报名</t>
  </si>
  <si>
    <t>微信→光大信用卡→报名</t>
  </si>
  <si>
    <t>日历重复</t>
  </si>
  <si>
    <t>每月6号</t>
  </si>
  <si>
    <t>航空里程兑换</t>
  </si>
  <si>
    <t>App→里程兑换</t>
  </si>
  <si>
    <t>每周三</t>
  </si>
  <si>
    <t>周三5折抢券</t>
  </si>
  <si>
    <t>App→精选</t>
  </si>
  <si>
    <t>生日月</t>
  </si>
  <si>
    <t>邮储/光大/广发</t>
  </si>
  <si>
    <t>生日多倍积分</t>
  </si>
  <si>
    <t>自动</t>
  </si>
  <si>
    <t>日历提醒</t>
  </si>
  <si>
    <t>5B. 活动与券变现流水</t>
  </si>
  <si>
    <t>活动/券名</t>
  </si>
  <si>
    <t>类型</t>
  </si>
  <si>
    <t>成本(元)</t>
  </si>
  <si>
    <t>获得</t>
  </si>
  <si>
    <t>卖出价(元)</t>
  </si>
  <si>
    <t>利润(元)</t>
  </si>
  <si>
    <t>收支总账 — 年度盈亏（年费支出 vs 变现收入）</t>
  </si>
  <si>
    <t>6A. 支出（年费）</t>
  </si>
  <si>
    <t>年费(元)</t>
  </si>
  <si>
    <t>26年实付</t>
  </si>
  <si>
    <t>刚性</t>
  </si>
  <si>
    <t>积分抵扣</t>
  </si>
  <si>
    <t>10W积分</t>
  </si>
  <si>
    <t>消费额度</t>
  </si>
  <si>
    <t>6B. 收入（权益变现 + 券变现）</t>
  </si>
  <si>
    <t>来源</t>
  </si>
  <si>
    <t>预估年收入</t>
  </si>
  <si>
    <t>26年已实现</t>
  </si>
  <si>
    <t>权益变现</t>
  </si>
  <si>
    <t>2,850-4,988</t>
  </si>
  <si>
    <t>券变现</t>
  </si>
  <si>
    <t>活动返现</t>
  </si>
  <si>
    <t>6C. 盈亏汇总</t>
  </si>
  <si>
    <t>项目</t>
  </si>
  <si>
    <t>金额</t>
  </si>
  <si>
    <t>预估净盈亏</t>
  </si>
  <si>
    <t>+1,270 ~ +3,588 元</t>
  </si>
  <si>
    <t>-1,330 ~ +808 元</t>
  </si>
  <si>
    <t>目标：收入覆盖刚性年费（中信480+交通500+兴业900=1,880），剩余积分/消费类年费靠刷卡自然达标。</t>
  </si>
  <si>
    <t>❀ 爱人 — 年费支出</t>
  </si>
  <si>
    <t>25W积分</t>
  </si>
  <si>
    <t>积分兑还</t>
  </si>
  <si>
    <t>15W积分</t>
  </si>
  <si>
    <t>20W积分</t>
  </si>
  <si>
    <t>笔数</t>
  </si>
  <si>
    <t>15笔/1W</t>
  </si>
  <si>
    <t>笔数+金额</t>
  </si>
  <si>
    <t>积分余额 — 各卡积分追踪</t>
  </si>
  <si>
    <t>待补充：当前积分余额数据，后续提供具体值 → 填入「当前余额」列</t>
  </si>
  <si>
    <t>积分类型</t>
  </si>
  <si>
    <t>当前余额</t>
  </si>
  <si>
    <t>兑换所需</t>
  </si>
  <si>
    <t>用途</t>
  </si>
  <si>
    <t>更新日期</t>
  </si>
  <si>
    <t>综合积分</t>
  </si>
  <si>
    <t>里程</t>
  </si>
  <si>
    <t>国航里程</t>
  </si>
  <si>
    <t>❀ 爱人 — 积分余额</t>
  </si>
  <si>
    <t>250000</t>
  </si>
  <si>
    <t>150000</t>
  </si>
  <si>
    <t>200000</t>
  </si>
  <si>
    <t>日常记录 — 申请二卡、提额、销卡等操作记录</t>
  </si>
  <si>
    <t>操作类型</t>
  </si>
  <si>
    <t>操作详情</t>
  </si>
  <si>
    <t>结果</t>
  </si>
  <si>
    <t>2025-08-15</t>
  </si>
  <si>
    <t>申请提额</t>
  </si>
  <si>
    <t>申请提额至10W</t>
  </si>
  <si>
    <t>✅成功</t>
  </si>
  <si>
    <t>10W额度获批</t>
  </si>
  <si>
    <t>2025-12-07</t>
  </si>
  <si>
    <t>自动出现额度，直接申请</t>
  </si>
  <si>
    <t>申请的是VISA卡！</t>
  </si>
  <si>
    <t>❌拒绝</t>
  </si>
  <si>
    <t>办理二卡</t>
  </si>
  <si>
    <t>待记录</t>
  </si>
  <si>
    <t>申请12W</t>
  </si>
  <si>
    <t>❌未通过</t>
  </si>
  <si>
    <t>再次申请15W</t>
  </si>
  <si>
    <t>2026-06</t>
  </si>
  <si>
    <t>申请10W</t>
  </si>
  <si>
    <t>没有申请按钮，需要分期？</t>
  </si>
  <si>
    <t>18日</t>
    <phoneticPr fontId="7" type="noConversion"/>
  </si>
  <si>
    <t>17日</t>
    <phoneticPr fontId="7" type="noConversion"/>
  </si>
  <si>
    <t>消费15笔免</t>
    <phoneticPr fontId="7" type="noConversion"/>
  </si>
  <si>
    <t>年费：15笔/1W抵；权益待确认</t>
    <phoneticPr fontId="7" type="noConversion"/>
  </si>
  <si>
    <t>年费：15笔抵</t>
    <phoneticPr fontId="7" type="noConversion"/>
  </si>
  <si>
    <t>可不刷</t>
    <phoneticPr fontId="7" type="noConversion"/>
  </si>
  <si>
    <t>可不刷；  实际16号</t>
    <phoneticPr fontId="7" type="noConversion"/>
  </si>
  <si>
    <t>17日</t>
    <phoneticPr fontId="7" type="noConversion"/>
  </si>
  <si>
    <t>15日</t>
    <phoneticPr fontId="7" type="noConversion"/>
  </si>
  <si>
    <r>
      <t>1</t>
    </r>
    <r>
      <rPr>
        <sz val="10"/>
        <rFont val="微软雅黑"/>
        <family val="2"/>
        <charset val="134"/>
      </rPr>
      <t>5</t>
    </r>
    <r>
      <rPr>
        <sz val="10"/>
        <rFont val="微软雅黑"/>
        <family val="2"/>
        <charset val="134"/>
      </rPr>
      <t>笔</t>
    </r>
    <phoneticPr fontId="7" type="noConversion"/>
  </si>
  <si>
    <t>兑换里程</t>
    <phoneticPr fontId="7" type="noConversion"/>
  </si>
  <si>
    <t>银行APP直接搜索年费查询
6月-9月可兑换</t>
    <phoneticPr fontId="7" type="noConversion"/>
  </si>
  <si>
    <r>
      <t>1</t>
    </r>
    <r>
      <rPr>
        <sz val="10"/>
        <rFont val="微软雅黑"/>
        <family val="2"/>
        <charset val="134"/>
      </rPr>
      <t>6</t>
    </r>
    <r>
      <rPr>
        <sz val="10"/>
        <rFont val="微软雅黑"/>
        <family val="2"/>
        <charset val="134"/>
      </rPr>
      <t>日</t>
    </r>
    <phoneticPr fontId="7" type="noConversion"/>
  </si>
  <si>
    <t>16日</t>
    <phoneticPr fontId="7" type="noConversion"/>
  </si>
  <si>
    <t>【已办理】年费980→25W积分抵；权益：299酒店/代驾20km/贵宾厅4次</t>
    <phoneticPr fontId="7" type="noConversion"/>
  </si>
  <si>
    <r>
      <t xml:space="preserve">普通白金卡
</t>
    </r>
    <r>
      <rPr>
        <sz val="10"/>
        <color rgb="FFFF0000"/>
        <rFont val="微软雅黑"/>
        <family val="2"/>
        <charset val="134"/>
      </rPr>
      <t>积分可兑换南航</t>
    </r>
    <phoneticPr fontId="7" type="noConversion"/>
  </si>
  <si>
    <t>积分可兑换里程</t>
    <phoneticPr fontId="7" type="noConversion"/>
  </si>
  <si>
    <r>
      <t xml:space="preserve">值得办理 </t>
    </r>
    <r>
      <rPr>
        <sz val="10"/>
        <rFont val="微软雅黑"/>
        <family val="2"/>
        <charset val="134"/>
      </rPr>
      <t xml:space="preserve"> 可办理燕的那个
积分兑换里程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</si>
</sst>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宋体"/>
      <family val="2"/>
      <scheme val="minor"/>
    </font>
    <font>
      <b/>
      <sz val="14"/>
      <color rgb="FF1F4E7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i/>
      <sz val="9"/>
      <color rgb="FF808080"/>
      <name val="微软雅黑"/>
      <family val="2"/>
      <charset val="134"/>
    </font>
    <font>
      <b/>
      <sz val="11"/>
      <color rgb="FFBF8F00"/>
      <name val="微软雅黑"/>
      <family val="2"/>
      <charset val="134"/>
    </font>
    <font>
      <b/>
      <sz val="11"/>
      <color rgb="FF0061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color rgb="FF1F4E7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FF0000"/>
      <name val="宋体"/>
      <family val="2"/>
      <scheme val="minor"/>
    </font>
    <font>
      <sz val="10"/>
      <name val="微软雅黑"/>
      <family val="2"/>
      <charset val="134"/>
    </font>
    <font>
      <i/>
      <sz val="9"/>
      <color rgb="FF808080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7"/>
      <name val="微软雅黑"/>
      <family val="2"/>
      <charset val="134"/>
    </font>
    <font>
      <b/>
      <sz val="12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CC99"/>
        <bgColor rgb="FFFFCC99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EB9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wrapText="1"/>
    </xf>
    <xf numFmtId="57" fontId="2" fillId="2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/>
    <xf numFmtId="0" fontId="0" fillId="0" borderId="0" xfId="0"/>
    <xf numFmtId="0" fontId="4" fillId="0" borderId="0" xfId="0" applyFont="1"/>
    <xf numFmtId="0" fontId="0" fillId="0" borderId="7" xfId="0" applyBorder="1"/>
    <xf numFmtId="0" fontId="5" fillId="4" borderId="0" xfId="0" applyFont="1" applyFill="1"/>
    <xf numFmtId="0" fontId="15" fillId="12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9" fillId="7" borderId="5" xfId="0" applyFont="1" applyFill="1" applyBorder="1" applyAlignment="1">
      <alignment horizontal="center" vertical="center" wrapText="1"/>
    </xf>
    <xf numFmtId="3" fontId="14" fillId="0" borderId="5" xfId="0" applyNumberFormat="1" applyFont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3" fontId="14" fillId="12" borderId="5" xfId="0" applyNumberFormat="1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4" fillId="9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wrapText="1"/>
    </xf>
    <xf numFmtId="0" fontId="9" fillId="10" borderId="5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0" borderId="0" xfId="0" applyFont="1"/>
    <xf numFmtId="0" fontId="14" fillId="1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3" fillId="3" borderId="5" xfId="0" applyFont="1" applyFill="1" applyBorder="1" applyAlignment="1">
      <alignment horizontal="center" vertical="center" wrapText="1"/>
    </xf>
    <xf numFmtId="0" fontId="13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5" fillId="4" borderId="0" xfId="0" applyFont="1" applyFill="1"/>
    <xf numFmtId="0" fontId="3" fillId="0" borderId="5" xfId="0" applyFont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4" fillId="0" borderId="5" xfId="0" applyFont="1" applyBorder="1"/>
    <xf numFmtId="0" fontId="14" fillId="0" borderId="5" xfId="0" applyFont="1" applyBorder="1" applyAlignment="1">
      <alignment horizontal="center" vertical="center" wrapText="1"/>
    </xf>
    <xf numFmtId="0" fontId="8" fillId="0" borderId="0" xfId="0" applyFont="1"/>
    <xf numFmtId="0" fontId="0" fillId="14" borderId="5" xfId="0" applyFill="1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10" fillId="14" borderId="3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12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38"/>
  <sheetViews>
    <sheetView workbookViewId="0">
      <pane ySplit="2" topLeftCell="A18" activePane="bottomLeft" state="frozen"/>
      <selection pane="bottomLeft" activeCell="D26" sqref="D26"/>
    </sheetView>
  </sheetViews>
  <sheetFormatPr defaultRowHeight="13.5"/>
  <cols>
    <col min="1" max="1" width="5" style="32" customWidth="1"/>
    <col min="2" max="2" width="8" style="32" customWidth="1"/>
    <col min="3" max="3" width="12" style="32" customWidth="1"/>
    <col min="4" max="6" width="10" style="32" customWidth="1"/>
    <col min="7" max="7" width="7" style="32" customWidth="1"/>
    <col min="8" max="8" width="41.375" style="27" customWidth="1"/>
  </cols>
  <sheetData>
    <row r="1" spans="1:8" ht="30" customHeight="1">
      <c r="A1" s="53" t="s">
        <v>0</v>
      </c>
      <c r="B1" s="54"/>
      <c r="C1" s="54"/>
      <c r="D1" s="54"/>
      <c r="E1" s="54"/>
      <c r="F1" s="54"/>
      <c r="G1" s="54"/>
    </row>
    <row r="2" spans="1:8" ht="24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>
      <c r="A3" s="8">
        <v>1</v>
      </c>
      <c r="B3" s="8" t="s">
        <v>9</v>
      </c>
      <c r="C3" s="8" t="s">
        <v>10</v>
      </c>
      <c r="D3" s="8" t="s">
        <v>11</v>
      </c>
      <c r="E3" s="2">
        <v>78000</v>
      </c>
      <c r="F3" s="2">
        <v>78000</v>
      </c>
      <c r="G3" s="8" t="s">
        <v>12</v>
      </c>
      <c r="H3" s="28"/>
    </row>
    <row r="4" spans="1:8" ht="16.5" customHeight="1">
      <c r="A4" s="8">
        <v>2</v>
      </c>
      <c r="B4" s="8" t="s">
        <v>13</v>
      </c>
      <c r="C4" s="8" t="s">
        <v>14</v>
      </c>
      <c r="D4" s="8" t="s">
        <v>11</v>
      </c>
      <c r="E4" s="2">
        <v>30000</v>
      </c>
      <c r="F4" s="2">
        <v>45000</v>
      </c>
      <c r="G4" s="8" t="s">
        <v>15</v>
      </c>
      <c r="H4" s="28"/>
    </row>
    <row r="5" spans="1:8" ht="16.5" customHeight="1">
      <c r="A5" s="8">
        <v>3</v>
      </c>
      <c r="B5" s="8" t="s">
        <v>16</v>
      </c>
      <c r="C5" s="8" t="s">
        <v>17</v>
      </c>
      <c r="D5" s="8" t="s">
        <v>11</v>
      </c>
      <c r="E5" s="2">
        <v>100000</v>
      </c>
      <c r="F5" s="2">
        <v>100000</v>
      </c>
      <c r="G5" s="8" t="s">
        <v>18</v>
      </c>
      <c r="H5" s="28"/>
    </row>
    <row r="6" spans="1:8" ht="16.5" customHeight="1">
      <c r="A6" s="8">
        <v>4</v>
      </c>
      <c r="B6" s="8" t="s">
        <v>19</v>
      </c>
      <c r="C6" s="8" t="s">
        <v>20</v>
      </c>
      <c r="D6" s="8" t="s">
        <v>11</v>
      </c>
      <c r="E6" s="2">
        <v>80000</v>
      </c>
      <c r="F6" s="2">
        <v>90000</v>
      </c>
      <c r="G6" s="8" t="s">
        <v>21</v>
      </c>
      <c r="H6" s="28"/>
    </row>
    <row r="7" spans="1:8" ht="16.5" customHeight="1">
      <c r="A7" s="8">
        <v>5</v>
      </c>
      <c r="B7" s="8" t="s">
        <v>22</v>
      </c>
      <c r="C7" s="30" t="s">
        <v>23</v>
      </c>
      <c r="D7" s="8" t="s">
        <v>11</v>
      </c>
      <c r="E7" s="2">
        <v>41000</v>
      </c>
      <c r="F7" s="2">
        <v>59000</v>
      </c>
      <c r="G7" s="8" t="s">
        <v>24</v>
      </c>
      <c r="H7" s="28" t="s">
        <v>25</v>
      </c>
    </row>
    <row r="8" spans="1:8" ht="16.5" customHeight="1">
      <c r="A8" s="8">
        <v>6</v>
      </c>
      <c r="B8" s="8" t="s">
        <v>26</v>
      </c>
      <c r="C8" s="8" t="s">
        <v>27</v>
      </c>
      <c r="D8" s="8" t="s">
        <v>11</v>
      </c>
      <c r="E8" s="2">
        <v>65000</v>
      </c>
      <c r="F8" s="2">
        <v>102000</v>
      </c>
      <c r="G8" s="8" t="s">
        <v>28</v>
      </c>
      <c r="H8" s="28"/>
    </row>
    <row r="9" spans="1:8" ht="16.5" customHeight="1">
      <c r="A9" s="8">
        <v>7</v>
      </c>
      <c r="B9" s="8" t="s">
        <v>48</v>
      </c>
      <c r="C9" s="8" t="s">
        <v>49</v>
      </c>
      <c r="D9" s="8" t="s">
        <v>11</v>
      </c>
      <c r="E9" s="2">
        <v>50000</v>
      </c>
      <c r="F9" s="2">
        <v>50000</v>
      </c>
      <c r="G9" s="8" t="s">
        <v>334</v>
      </c>
      <c r="H9" s="28"/>
    </row>
    <row r="10" spans="1:8" ht="16.5" customHeight="1">
      <c r="A10" s="8">
        <v>8</v>
      </c>
      <c r="B10" s="8" t="s">
        <v>29</v>
      </c>
      <c r="C10" s="29" t="s">
        <v>30</v>
      </c>
      <c r="D10" s="8" t="s">
        <v>11</v>
      </c>
      <c r="E10" s="2">
        <v>80000</v>
      </c>
      <c r="F10" s="2">
        <v>80000</v>
      </c>
      <c r="G10" s="8" t="s">
        <v>31</v>
      </c>
      <c r="H10" s="28" t="s">
        <v>32</v>
      </c>
    </row>
    <row r="11" spans="1:8" ht="16.5" customHeight="1">
      <c r="A11" s="8">
        <v>9</v>
      </c>
      <c r="B11" s="8" t="s">
        <v>41</v>
      </c>
      <c r="C11" s="8" t="s">
        <v>11</v>
      </c>
      <c r="D11" s="8" t="s">
        <v>11</v>
      </c>
      <c r="E11" s="2">
        <v>20000</v>
      </c>
      <c r="F11" s="2">
        <v>26000</v>
      </c>
      <c r="G11" s="8" t="s">
        <v>333</v>
      </c>
      <c r="H11" s="28"/>
    </row>
    <row r="12" spans="1:8" ht="16.5" customHeight="1">
      <c r="A12" s="8">
        <v>10</v>
      </c>
      <c r="B12" s="8" t="s">
        <v>33</v>
      </c>
      <c r="C12" s="8" t="s">
        <v>34</v>
      </c>
      <c r="D12" s="8" t="s">
        <v>11</v>
      </c>
      <c r="E12" s="2">
        <v>50000</v>
      </c>
      <c r="F12" s="2">
        <v>60000</v>
      </c>
      <c r="G12" s="8" t="s">
        <v>35</v>
      </c>
      <c r="H12" s="28"/>
    </row>
    <row r="13" spans="1:8" ht="16.5" customHeight="1">
      <c r="A13" s="8">
        <v>11</v>
      </c>
      <c r="B13" s="8" t="s">
        <v>36</v>
      </c>
      <c r="C13" s="8" t="s">
        <v>37</v>
      </c>
      <c r="D13" s="8" t="s">
        <v>11</v>
      </c>
      <c r="E13" s="2">
        <v>50000</v>
      </c>
      <c r="F13" s="2">
        <v>75000</v>
      </c>
      <c r="G13" s="8" t="s">
        <v>38</v>
      </c>
      <c r="H13" s="28"/>
    </row>
    <row r="14" spans="1:8" ht="16.5" customHeight="1">
      <c r="A14" s="8">
        <v>12</v>
      </c>
      <c r="B14" s="8" t="s">
        <v>39</v>
      </c>
      <c r="C14" s="29" t="s">
        <v>30</v>
      </c>
      <c r="D14" s="8" t="s">
        <v>11</v>
      </c>
      <c r="E14" s="2">
        <v>50000</v>
      </c>
      <c r="F14" s="2">
        <v>50000</v>
      </c>
      <c r="G14" s="8" t="s">
        <v>40</v>
      </c>
      <c r="H14" s="28"/>
    </row>
    <row r="15" spans="1:8" ht="16.5" customHeight="1">
      <c r="A15" s="8">
        <v>13</v>
      </c>
      <c r="B15" s="8" t="s">
        <v>42</v>
      </c>
      <c r="C15" s="8" t="s">
        <v>43</v>
      </c>
      <c r="D15" s="8" t="s">
        <v>11</v>
      </c>
      <c r="E15" s="2">
        <v>80000</v>
      </c>
      <c r="F15" s="2">
        <v>95000</v>
      </c>
      <c r="G15" s="8" t="s">
        <v>44</v>
      </c>
      <c r="H15" s="28"/>
    </row>
    <row r="16" spans="1:8" ht="16.5" customHeight="1">
      <c r="A16" s="8">
        <v>14</v>
      </c>
      <c r="B16" s="8" t="s">
        <v>45</v>
      </c>
      <c r="C16" s="8" t="s">
        <v>46</v>
      </c>
      <c r="D16" s="8" t="s">
        <v>11</v>
      </c>
      <c r="E16" s="2">
        <v>55000</v>
      </c>
      <c r="F16" s="2">
        <v>71500</v>
      </c>
      <c r="G16" s="8" t="s">
        <v>47</v>
      </c>
      <c r="H16" s="28"/>
    </row>
    <row r="17" spans="1:8" ht="16.5" customHeight="1">
      <c r="A17" s="8">
        <v>15</v>
      </c>
      <c r="B17" s="8" t="s">
        <v>50</v>
      </c>
      <c r="C17" s="8" t="s">
        <v>51</v>
      </c>
      <c r="D17" s="8" t="s">
        <v>11</v>
      </c>
      <c r="E17" s="2">
        <v>20000</v>
      </c>
      <c r="F17" s="2">
        <v>100000</v>
      </c>
      <c r="G17" s="8" t="s">
        <v>52</v>
      </c>
      <c r="H17" s="28"/>
    </row>
    <row r="18" spans="1:8" ht="16.5" customHeight="1">
      <c r="A18" s="8">
        <v>16</v>
      </c>
      <c r="B18" s="8" t="s">
        <v>53</v>
      </c>
      <c r="C18" s="8" t="s">
        <v>54</v>
      </c>
      <c r="D18" s="8" t="s">
        <v>11</v>
      </c>
      <c r="E18" s="2">
        <v>60000</v>
      </c>
      <c r="F18" s="2">
        <v>60000</v>
      </c>
      <c r="G18" s="8" t="s">
        <v>55</v>
      </c>
      <c r="H18" s="28"/>
    </row>
    <row r="19" spans="1:8" ht="16.5" customHeight="1">
      <c r="A19" s="59" t="s">
        <v>56</v>
      </c>
      <c r="B19" s="57"/>
      <c r="C19" s="57"/>
      <c r="D19" s="58"/>
      <c r="E19" s="3">
        <v>919000</v>
      </c>
      <c r="F19" s="3">
        <v>1141500</v>
      </c>
      <c r="G19" s="11"/>
      <c r="H19" s="28"/>
    </row>
    <row r="21" spans="1:8" ht="15.75" customHeight="1">
      <c r="A21" s="55" t="s">
        <v>57</v>
      </c>
      <c r="B21" s="54"/>
      <c r="C21" s="54"/>
      <c r="D21" s="54"/>
      <c r="E21" s="54"/>
      <c r="F21" s="54"/>
      <c r="G21" s="54"/>
    </row>
    <row r="24" spans="1:8" ht="21" customHeight="1">
      <c r="A24" s="53" t="s">
        <v>58</v>
      </c>
      <c r="B24" s="54"/>
      <c r="C24" s="54"/>
      <c r="D24" s="54"/>
      <c r="E24" s="54"/>
      <c r="F24" s="54"/>
      <c r="G24" s="54"/>
    </row>
    <row r="25" spans="1:8" ht="21" customHeight="1">
      <c r="A25" s="40" t="s">
        <v>1</v>
      </c>
      <c r="B25" s="40" t="s">
        <v>2</v>
      </c>
      <c r="C25" s="40" t="s">
        <v>3</v>
      </c>
      <c r="D25" s="40" t="s">
        <v>4</v>
      </c>
      <c r="E25" s="40" t="s">
        <v>5</v>
      </c>
      <c r="F25" s="40" t="s">
        <v>6</v>
      </c>
      <c r="G25" s="40" t="s">
        <v>7</v>
      </c>
      <c r="H25" s="40" t="s">
        <v>8</v>
      </c>
    </row>
    <row r="26" spans="1:8" ht="32.25" customHeight="1">
      <c r="A26" s="37">
        <v>1</v>
      </c>
      <c r="B26" s="37" t="s">
        <v>29</v>
      </c>
      <c r="C26" s="52" t="s">
        <v>341</v>
      </c>
      <c r="D26" s="37" t="s">
        <v>11</v>
      </c>
      <c r="E26" s="41">
        <v>11000</v>
      </c>
      <c r="F26" s="41">
        <v>11000</v>
      </c>
      <c r="G26" s="52" t="s">
        <v>338</v>
      </c>
      <c r="H26" s="69" t="s">
        <v>340</v>
      </c>
    </row>
    <row r="27" spans="1:8" ht="31.5" customHeight="1">
      <c r="A27" s="37">
        <v>2</v>
      </c>
      <c r="B27" s="37" t="s">
        <v>60</v>
      </c>
      <c r="C27" s="37" t="s">
        <v>61</v>
      </c>
      <c r="D27" s="37" t="s">
        <v>11</v>
      </c>
      <c r="E27" s="41"/>
      <c r="F27" s="41"/>
      <c r="G27" s="37" t="s">
        <v>11</v>
      </c>
      <c r="H27" s="69" t="s">
        <v>62</v>
      </c>
    </row>
    <row r="28" spans="1:8" ht="36.75" customHeight="1">
      <c r="A28" s="37">
        <v>3</v>
      </c>
      <c r="B28" s="37" t="s">
        <v>42</v>
      </c>
      <c r="C28" s="37" t="s">
        <v>63</v>
      </c>
      <c r="D28" s="37" t="s">
        <v>11</v>
      </c>
      <c r="E28" s="41"/>
      <c r="F28" s="41"/>
      <c r="G28" s="37" t="s">
        <v>11</v>
      </c>
      <c r="H28" s="69" t="s">
        <v>64</v>
      </c>
    </row>
    <row r="29" spans="1:8" ht="16.5" customHeight="1">
      <c r="A29" s="37">
        <v>4</v>
      </c>
      <c r="B29" s="37" t="s">
        <v>65</v>
      </c>
      <c r="C29" s="37" t="s">
        <v>11</v>
      </c>
      <c r="D29" s="37" t="s">
        <v>11</v>
      </c>
      <c r="E29" s="41"/>
      <c r="F29" s="41"/>
      <c r="G29" s="37" t="s">
        <v>11</v>
      </c>
      <c r="H29" s="69" t="s">
        <v>329</v>
      </c>
    </row>
    <row r="30" spans="1:8" ht="16.5" customHeight="1">
      <c r="A30" s="37">
        <v>5</v>
      </c>
      <c r="B30" s="37" t="s">
        <v>41</v>
      </c>
      <c r="C30" s="37" t="s">
        <v>11</v>
      </c>
      <c r="D30" s="37" t="s">
        <v>11</v>
      </c>
      <c r="E30" s="41"/>
      <c r="F30" s="41"/>
      <c r="G30" s="37" t="s">
        <v>11</v>
      </c>
      <c r="H30" s="69" t="s">
        <v>66</v>
      </c>
    </row>
    <row r="31" spans="1:8" ht="16.5" customHeight="1">
      <c r="A31" s="37">
        <v>8</v>
      </c>
      <c r="B31" s="37" t="s">
        <v>19</v>
      </c>
      <c r="C31" s="37" t="s">
        <v>70</v>
      </c>
      <c r="D31" s="37" t="s">
        <v>11</v>
      </c>
      <c r="E31" s="41"/>
      <c r="F31" s="41"/>
      <c r="G31" s="37" t="s">
        <v>11</v>
      </c>
      <c r="H31" s="69" t="s">
        <v>330</v>
      </c>
    </row>
    <row r="32" spans="1:8" ht="30.75" customHeight="1">
      <c r="A32" s="37">
        <v>6</v>
      </c>
      <c r="B32" s="37" t="s">
        <v>45</v>
      </c>
      <c r="C32" s="37" t="s">
        <v>46</v>
      </c>
      <c r="D32" s="37" t="s">
        <v>11</v>
      </c>
      <c r="E32" s="41"/>
      <c r="F32" s="41"/>
      <c r="G32" s="37" t="s">
        <v>11</v>
      </c>
      <c r="H32" s="69" t="s">
        <v>67</v>
      </c>
    </row>
    <row r="33" spans="1:8" ht="16.5" customHeight="1">
      <c r="A33" s="37">
        <v>7</v>
      </c>
      <c r="B33" s="37" t="s">
        <v>68</v>
      </c>
      <c r="C33" s="37" t="s">
        <v>11</v>
      </c>
      <c r="D33" s="37" t="s">
        <v>11</v>
      </c>
      <c r="E33" s="41"/>
      <c r="F33" s="41"/>
      <c r="G33" s="37" t="s">
        <v>11</v>
      </c>
      <c r="H33" s="69" t="s">
        <v>69</v>
      </c>
    </row>
    <row r="34" spans="1:8" ht="16.5" customHeight="1">
      <c r="A34" s="37">
        <v>9</v>
      </c>
      <c r="B34" s="37" t="s">
        <v>39</v>
      </c>
      <c r="C34" s="37" t="s">
        <v>72</v>
      </c>
      <c r="D34" s="37" t="s">
        <v>11</v>
      </c>
      <c r="E34" s="41"/>
      <c r="F34" s="41"/>
      <c r="G34" s="37" t="s">
        <v>11</v>
      </c>
      <c r="H34" s="69" t="s">
        <v>71</v>
      </c>
    </row>
    <row r="35" spans="1:8" ht="16.5" customHeight="1">
      <c r="A35" s="37" t="s">
        <v>73</v>
      </c>
      <c r="B35" s="37"/>
      <c r="C35" s="37"/>
      <c r="D35" s="37"/>
      <c r="E35" s="41"/>
      <c r="F35" s="41"/>
      <c r="G35" s="37"/>
      <c r="H35" s="69"/>
    </row>
    <row r="36" spans="1:8" ht="16.5" customHeight="1">
      <c r="A36" s="37">
        <v>13</v>
      </c>
      <c r="B36" s="37" t="s">
        <v>45</v>
      </c>
      <c r="C36" s="37" t="s">
        <v>46</v>
      </c>
      <c r="D36" s="37" t="s">
        <v>11</v>
      </c>
      <c r="E36" s="41"/>
      <c r="F36" s="41"/>
      <c r="G36" s="37" t="s">
        <v>47</v>
      </c>
      <c r="H36" s="69"/>
    </row>
    <row r="37" spans="1:8" ht="16.5" customHeight="1">
      <c r="A37" s="37">
        <v>14</v>
      </c>
      <c r="B37" s="37" t="s">
        <v>48</v>
      </c>
      <c r="C37" s="37" t="s">
        <v>49</v>
      </c>
      <c r="D37" s="37" t="s">
        <v>11</v>
      </c>
      <c r="E37" s="41"/>
      <c r="F37" s="41"/>
      <c r="G37" s="37" t="s">
        <v>47</v>
      </c>
      <c r="H37" s="69"/>
    </row>
    <row r="38" spans="1:8" ht="16.5" customHeight="1">
      <c r="A38" s="56" t="s">
        <v>74</v>
      </c>
      <c r="B38" s="57"/>
      <c r="C38" s="57"/>
      <c r="D38" s="58"/>
      <c r="E38" s="43">
        <f>SUM(E26:E37)</f>
        <v>11000</v>
      </c>
      <c r="F38" s="43">
        <f>SUM(F26:F37)</f>
        <v>11000</v>
      </c>
      <c r="G38" s="42"/>
      <c r="H38" s="69"/>
    </row>
  </sheetData>
  <autoFilter ref="A2:G19"/>
  <mergeCells count="5">
    <mergeCell ref="A1:G1"/>
    <mergeCell ref="A21:G21"/>
    <mergeCell ref="A38:D38"/>
    <mergeCell ref="A24:G24"/>
    <mergeCell ref="A19:D19"/>
  </mergeCells>
  <phoneticPr fontId="7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I52"/>
  <sheetViews>
    <sheetView workbookViewId="0">
      <pane ySplit="2" topLeftCell="A9" activePane="bottomLeft" state="frozen"/>
      <selection pane="bottomLeft" activeCell="I27" sqref="I27"/>
    </sheetView>
  </sheetViews>
  <sheetFormatPr defaultRowHeight="13.5"/>
  <cols>
    <col min="1" max="1" width="10" style="32" customWidth="1"/>
    <col min="2" max="2" width="12" style="32" customWidth="1"/>
    <col min="3" max="3" width="14" style="32" customWidth="1"/>
    <col min="4" max="4" width="12" style="32" customWidth="1"/>
    <col min="5" max="5" width="8" style="32" customWidth="1"/>
    <col min="6" max="6" width="18" style="32" customWidth="1"/>
    <col min="7" max="7" width="13.875" style="32" customWidth="1"/>
    <col min="8" max="8" width="8" style="32" customWidth="1"/>
    <col min="9" max="9" width="25.875" style="32" customWidth="1"/>
  </cols>
  <sheetData>
    <row r="1" spans="1:9" ht="30" customHeight="1">
      <c r="A1" s="53" t="s">
        <v>75</v>
      </c>
      <c r="B1" s="54"/>
      <c r="C1" s="54"/>
      <c r="D1" s="54"/>
      <c r="E1" s="54"/>
      <c r="F1" s="54"/>
      <c r="G1" s="54"/>
      <c r="H1" s="54"/>
    </row>
    <row r="3" spans="1:9" ht="15" customHeight="1">
      <c r="A3" s="61" t="s">
        <v>76</v>
      </c>
      <c r="B3" s="57"/>
      <c r="C3" s="57"/>
      <c r="D3" s="57"/>
      <c r="E3" s="57"/>
      <c r="F3" s="57"/>
      <c r="G3" s="57"/>
      <c r="H3" s="58"/>
      <c r="I3" s="26"/>
    </row>
    <row r="4" spans="1:9" ht="33" customHeight="1">
      <c r="A4" s="4" t="s">
        <v>2</v>
      </c>
      <c r="B4" s="4" t="s">
        <v>3</v>
      </c>
      <c r="C4" s="4" t="s">
        <v>77</v>
      </c>
      <c r="D4" s="4" t="s">
        <v>78</v>
      </c>
      <c r="E4" s="4" t="s">
        <v>79</v>
      </c>
      <c r="F4" s="4" t="s">
        <v>80</v>
      </c>
      <c r="G4" s="4" t="s">
        <v>81</v>
      </c>
      <c r="H4" s="4" t="s">
        <v>82</v>
      </c>
      <c r="I4" s="4" t="s">
        <v>83</v>
      </c>
    </row>
    <row r="5" spans="1:9" ht="16.5" customHeight="1">
      <c r="A5" s="8" t="s">
        <v>42</v>
      </c>
      <c r="B5" s="8" t="s">
        <v>43</v>
      </c>
      <c r="C5" s="8">
        <v>400000</v>
      </c>
      <c r="D5" s="8" t="s">
        <v>11</v>
      </c>
      <c r="E5" s="8" t="s">
        <v>11</v>
      </c>
      <c r="F5" s="8" t="s">
        <v>84</v>
      </c>
      <c r="G5" s="8" t="s">
        <v>85</v>
      </c>
      <c r="H5" s="16" t="s">
        <v>86</v>
      </c>
      <c r="I5" s="13" t="s">
        <v>87</v>
      </c>
    </row>
    <row r="6" spans="1:9" ht="16.5" customHeight="1">
      <c r="A6" s="8" t="s">
        <v>36</v>
      </c>
      <c r="B6" s="8" t="s">
        <v>37</v>
      </c>
      <c r="C6" s="8">
        <v>200000</v>
      </c>
      <c r="D6" s="8" t="s">
        <v>11</v>
      </c>
      <c r="E6" s="8" t="s">
        <v>11</v>
      </c>
      <c r="F6" s="8" t="s">
        <v>88</v>
      </c>
      <c r="G6" s="8" t="s">
        <v>89</v>
      </c>
      <c r="H6" s="16" t="s">
        <v>86</v>
      </c>
      <c r="I6" s="13" t="s">
        <v>87</v>
      </c>
    </row>
    <row r="7" spans="1:9" ht="33" customHeight="1">
      <c r="A7" s="8" t="s">
        <v>48</v>
      </c>
      <c r="B7" s="8" t="s">
        <v>49</v>
      </c>
      <c r="C7" s="8">
        <v>100000</v>
      </c>
      <c r="D7" s="8" t="s">
        <v>11</v>
      </c>
      <c r="E7" s="8" t="s">
        <v>11</v>
      </c>
      <c r="F7" s="8" t="s">
        <v>90</v>
      </c>
      <c r="G7" s="12">
        <v>46234</v>
      </c>
      <c r="H7" s="17" t="s">
        <v>91</v>
      </c>
      <c r="I7" s="13" t="s">
        <v>337</v>
      </c>
    </row>
    <row r="8" spans="1:9" ht="26.25" customHeight="1">
      <c r="A8" s="8" t="s">
        <v>33</v>
      </c>
      <c r="B8" s="8" t="s">
        <v>34</v>
      </c>
      <c r="C8" s="8">
        <v>200000</v>
      </c>
      <c r="D8" s="8" t="s">
        <v>11</v>
      </c>
      <c r="E8" s="8" t="s">
        <v>11</v>
      </c>
      <c r="F8" s="8" t="s">
        <v>92</v>
      </c>
      <c r="G8" s="8" t="s">
        <v>93</v>
      </c>
      <c r="H8" s="16" t="s">
        <v>86</v>
      </c>
      <c r="I8" s="14" t="s">
        <v>94</v>
      </c>
    </row>
    <row r="9" spans="1:9" ht="16.5" customHeight="1">
      <c r="A9" s="8"/>
      <c r="B9" s="8"/>
      <c r="C9" s="8"/>
      <c r="D9" s="8"/>
      <c r="E9" s="8"/>
      <c r="F9" s="8"/>
      <c r="G9" s="8"/>
      <c r="H9" s="8"/>
      <c r="I9" s="13"/>
    </row>
    <row r="10" spans="1:9" ht="16.5" customHeight="1">
      <c r="A10" s="61" t="s">
        <v>95</v>
      </c>
      <c r="B10" s="57"/>
      <c r="C10" s="57"/>
      <c r="D10" s="57"/>
      <c r="E10" s="57"/>
      <c r="F10" s="57"/>
      <c r="G10" s="57"/>
      <c r="H10" s="58"/>
      <c r="I10" s="26"/>
    </row>
    <row r="11" spans="1:9" ht="16.5" customHeight="1">
      <c r="A11" s="4" t="s">
        <v>2</v>
      </c>
      <c r="B11" s="4" t="s">
        <v>3</v>
      </c>
      <c r="C11" s="4" t="s">
        <v>96</v>
      </c>
      <c r="D11" s="4" t="s">
        <v>97</v>
      </c>
      <c r="E11" s="4" t="s">
        <v>79</v>
      </c>
      <c r="F11" s="4" t="s">
        <v>98</v>
      </c>
      <c r="G11" s="4" t="s">
        <v>11</v>
      </c>
      <c r="H11" s="4" t="s">
        <v>82</v>
      </c>
      <c r="I11" s="4" t="s">
        <v>83</v>
      </c>
    </row>
    <row r="12" spans="1:9" ht="31.5" customHeight="1">
      <c r="A12" s="8" t="s">
        <v>19</v>
      </c>
      <c r="B12" s="8" t="s">
        <v>20</v>
      </c>
      <c r="C12" s="8" t="s">
        <v>99</v>
      </c>
      <c r="D12" s="8" t="s">
        <v>11</v>
      </c>
      <c r="E12" s="8">
        <v>0</v>
      </c>
      <c r="F12" s="12">
        <v>46106</v>
      </c>
      <c r="G12" s="8" t="s">
        <v>100</v>
      </c>
      <c r="H12" s="16" t="s">
        <v>86</v>
      </c>
      <c r="I12" s="13" t="s">
        <v>101</v>
      </c>
    </row>
    <row r="13" spans="1:9" ht="16.5" customHeight="1">
      <c r="A13" s="8" t="s">
        <v>45</v>
      </c>
      <c r="B13" s="8" t="s">
        <v>46</v>
      </c>
      <c r="C13" s="8" t="s">
        <v>102</v>
      </c>
      <c r="D13" s="8" t="s">
        <v>11</v>
      </c>
      <c r="E13" s="8">
        <v>0</v>
      </c>
      <c r="F13" s="12">
        <v>46234</v>
      </c>
      <c r="G13" s="8"/>
      <c r="H13" s="16" t="s">
        <v>86</v>
      </c>
      <c r="I13" s="13" t="s">
        <v>87</v>
      </c>
    </row>
    <row r="14" spans="1:9" ht="16.5" customHeight="1">
      <c r="A14" s="8" t="s">
        <v>41</v>
      </c>
      <c r="B14" s="8" t="s">
        <v>11</v>
      </c>
      <c r="C14" s="8" t="s">
        <v>103</v>
      </c>
      <c r="D14" s="8" t="s">
        <v>11</v>
      </c>
      <c r="E14" s="8">
        <v>0</v>
      </c>
      <c r="F14" s="12">
        <v>46317</v>
      </c>
      <c r="G14" s="8"/>
      <c r="H14" s="16" t="s">
        <v>86</v>
      </c>
      <c r="I14" s="13" t="s">
        <v>87</v>
      </c>
    </row>
    <row r="15" spans="1:9" ht="30.75" customHeight="1">
      <c r="A15" s="8" t="s">
        <v>53</v>
      </c>
      <c r="B15" s="8" t="s">
        <v>54</v>
      </c>
      <c r="C15" s="8" t="s">
        <v>104</v>
      </c>
      <c r="D15" s="8">
        <v>5</v>
      </c>
      <c r="E15" s="8">
        <v>0</v>
      </c>
      <c r="F15" s="12">
        <v>46080</v>
      </c>
      <c r="G15" s="8"/>
      <c r="H15" s="16" t="s">
        <v>86</v>
      </c>
      <c r="I15" s="13" t="s">
        <v>105</v>
      </c>
    </row>
    <row r="16" spans="1:9" ht="16.5" customHeight="1">
      <c r="A16" s="8" t="s">
        <v>50</v>
      </c>
      <c r="B16" s="8" t="s">
        <v>51</v>
      </c>
      <c r="C16" s="8" t="s">
        <v>106</v>
      </c>
      <c r="D16" s="8">
        <v>15</v>
      </c>
      <c r="E16" s="8">
        <v>0</v>
      </c>
      <c r="F16" s="8" t="s">
        <v>11</v>
      </c>
      <c r="G16" s="8"/>
      <c r="H16" s="16" t="s">
        <v>86</v>
      </c>
      <c r="I16" s="13" t="s">
        <v>107</v>
      </c>
    </row>
    <row r="17" spans="1:9" ht="16.5" customHeight="1">
      <c r="A17" s="8" t="s">
        <v>39</v>
      </c>
      <c r="B17" s="8" t="s">
        <v>70</v>
      </c>
      <c r="C17" s="8" t="s">
        <v>108</v>
      </c>
      <c r="D17" s="8">
        <v>6</v>
      </c>
      <c r="E17" s="8">
        <v>0</v>
      </c>
      <c r="F17" s="12">
        <v>46044</v>
      </c>
      <c r="G17" s="8"/>
      <c r="H17" s="16" t="s">
        <v>86</v>
      </c>
      <c r="I17" s="13" t="s">
        <v>109</v>
      </c>
    </row>
    <row r="18" spans="1:9" ht="16.5" customHeight="1">
      <c r="A18" s="8"/>
      <c r="B18" s="8"/>
      <c r="C18" s="8"/>
      <c r="D18" s="8"/>
      <c r="E18" s="8"/>
      <c r="F18" s="8"/>
      <c r="G18" s="8"/>
      <c r="H18" s="8"/>
      <c r="I18" s="13"/>
    </row>
    <row r="19" spans="1:9" ht="16.5" customHeight="1">
      <c r="A19" s="61" t="s">
        <v>110</v>
      </c>
      <c r="B19" s="57"/>
      <c r="C19" s="57"/>
      <c r="D19" s="57"/>
      <c r="E19" s="57"/>
      <c r="F19" s="57"/>
      <c r="G19" s="57"/>
      <c r="H19" s="58"/>
      <c r="I19" s="26"/>
    </row>
    <row r="20" spans="1:9" ht="16.5" customHeight="1">
      <c r="A20" s="4" t="s">
        <v>2</v>
      </c>
      <c r="B20" s="4" t="s">
        <v>3</v>
      </c>
      <c r="C20" s="4" t="s">
        <v>96</v>
      </c>
      <c r="D20" s="4" t="s">
        <v>111</v>
      </c>
      <c r="E20" s="4" t="s">
        <v>79</v>
      </c>
      <c r="F20" s="4" t="s">
        <v>98</v>
      </c>
      <c r="G20" s="4" t="s">
        <v>11</v>
      </c>
      <c r="H20" s="4" t="s">
        <v>82</v>
      </c>
      <c r="I20" s="4" t="s">
        <v>83</v>
      </c>
    </row>
    <row r="21" spans="1:9" ht="16.5" customHeight="1">
      <c r="A21" s="8" t="s">
        <v>26</v>
      </c>
      <c r="B21" s="8" t="s">
        <v>27</v>
      </c>
      <c r="C21" s="8" t="s">
        <v>112</v>
      </c>
      <c r="D21" s="8" t="s">
        <v>112</v>
      </c>
      <c r="E21" s="8">
        <v>0</v>
      </c>
      <c r="F21" s="12">
        <v>46233</v>
      </c>
      <c r="G21" s="8"/>
      <c r="H21" s="16" t="s">
        <v>86</v>
      </c>
      <c r="I21" s="14" t="s">
        <v>113</v>
      </c>
    </row>
    <row r="22" spans="1:9" ht="16.5" customHeight="1">
      <c r="A22" s="8" t="s">
        <v>13</v>
      </c>
      <c r="B22" s="8" t="s">
        <v>14</v>
      </c>
      <c r="C22" s="8" t="s">
        <v>114</v>
      </c>
      <c r="D22" s="8" t="s">
        <v>114</v>
      </c>
      <c r="E22" s="8">
        <v>0</v>
      </c>
      <c r="F22" s="8" t="s">
        <v>115</v>
      </c>
      <c r="G22" s="8"/>
      <c r="H22" s="16" t="s">
        <v>86</v>
      </c>
      <c r="I22" s="13" t="s">
        <v>87</v>
      </c>
    </row>
    <row r="23" spans="1:9" ht="30.75" customHeight="1">
      <c r="A23" s="8" t="s">
        <v>16</v>
      </c>
      <c r="B23" s="8" t="s">
        <v>17</v>
      </c>
      <c r="C23" s="8" t="s">
        <v>116</v>
      </c>
      <c r="D23" s="8" t="s">
        <v>11</v>
      </c>
      <c r="E23" s="8" t="s">
        <v>11</v>
      </c>
      <c r="F23" s="8" t="s">
        <v>11</v>
      </c>
      <c r="G23" s="8"/>
      <c r="H23" s="17" t="s">
        <v>91</v>
      </c>
      <c r="I23" s="14" t="s">
        <v>117</v>
      </c>
    </row>
    <row r="24" spans="1:9" ht="16.5" customHeight="1">
      <c r="A24" s="8"/>
      <c r="B24" s="8"/>
      <c r="C24" s="8"/>
      <c r="D24" s="8"/>
      <c r="E24" s="8"/>
      <c r="F24" s="8"/>
      <c r="G24" s="8"/>
      <c r="H24" s="8"/>
      <c r="I24" s="13"/>
    </row>
    <row r="25" spans="1:9" ht="16.5" customHeight="1">
      <c r="A25" s="61" t="s">
        <v>118</v>
      </c>
      <c r="B25" s="57"/>
      <c r="C25" s="57"/>
      <c r="D25" s="57"/>
      <c r="E25" s="57"/>
      <c r="F25" s="57"/>
      <c r="G25" s="57"/>
      <c r="H25" s="58"/>
      <c r="I25" s="26"/>
    </row>
    <row r="26" spans="1:9" ht="16.5" customHeight="1">
      <c r="A26" s="4" t="s">
        <v>2</v>
      </c>
      <c r="B26" s="4" t="s">
        <v>3</v>
      </c>
      <c r="C26" s="4" t="s">
        <v>119</v>
      </c>
      <c r="D26" s="4" t="s">
        <v>120</v>
      </c>
      <c r="E26" s="4" t="s">
        <v>121</v>
      </c>
      <c r="F26" s="4" t="s">
        <v>122</v>
      </c>
      <c r="G26" s="4" t="s">
        <v>11</v>
      </c>
      <c r="H26" s="4" t="s">
        <v>82</v>
      </c>
      <c r="I26" s="4" t="s">
        <v>83</v>
      </c>
    </row>
    <row r="27" spans="1:9" ht="16.5" customHeight="1">
      <c r="A27" s="8" t="s">
        <v>29</v>
      </c>
      <c r="B27" s="8" t="s">
        <v>70</v>
      </c>
      <c r="C27" s="8">
        <v>480</v>
      </c>
      <c r="D27" s="8" t="s">
        <v>123</v>
      </c>
      <c r="E27" s="8" t="s">
        <v>124</v>
      </c>
      <c r="F27" s="8" t="s">
        <v>125</v>
      </c>
      <c r="G27" s="8"/>
      <c r="H27" s="8" t="s">
        <v>11</v>
      </c>
      <c r="I27" s="14" t="s">
        <v>342</v>
      </c>
    </row>
    <row r="28" spans="1:9" ht="33" customHeight="1">
      <c r="A28" s="8" t="s">
        <v>22</v>
      </c>
      <c r="B28" s="8" t="s">
        <v>126</v>
      </c>
      <c r="C28" s="8">
        <v>500</v>
      </c>
      <c r="D28" s="8" t="s">
        <v>127</v>
      </c>
      <c r="E28" s="8" t="s">
        <v>128</v>
      </c>
      <c r="F28" s="8" t="s">
        <v>125</v>
      </c>
      <c r="G28" s="8"/>
      <c r="H28" s="8" t="s">
        <v>11</v>
      </c>
      <c r="I28" s="13" t="s">
        <v>129</v>
      </c>
    </row>
    <row r="29" spans="1:9" ht="33" customHeight="1">
      <c r="A29" s="8" t="s">
        <v>9</v>
      </c>
      <c r="B29" s="8" t="s">
        <v>10</v>
      </c>
      <c r="C29" s="8">
        <v>900</v>
      </c>
      <c r="D29" s="8" t="s">
        <v>130</v>
      </c>
      <c r="E29" s="8" t="s">
        <v>131</v>
      </c>
      <c r="F29" s="17" t="s">
        <v>132</v>
      </c>
      <c r="G29" s="8" t="s">
        <v>133</v>
      </c>
      <c r="H29" s="22" t="s">
        <v>91</v>
      </c>
      <c r="I29" s="14" t="s">
        <v>134</v>
      </c>
    </row>
    <row r="32" spans="1:9" ht="15.75" customHeight="1">
      <c r="A32" s="60" t="s">
        <v>135</v>
      </c>
      <c r="B32" s="54"/>
      <c r="C32" s="54"/>
      <c r="D32" s="54"/>
      <c r="E32" s="54"/>
      <c r="F32" s="54"/>
      <c r="G32" s="54"/>
      <c r="H32" s="54"/>
    </row>
    <row r="35" spans="1:9" ht="14.25" customHeight="1">
      <c r="A35" s="38" t="s">
        <v>136</v>
      </c>
    </row>
    <row r="36" spans="1:9">
      <c r="A36" s="39" t="s">
        <v>76</v>
      </c>
    </row>
    <row r="37" spans="1:9" ht="16.5">
      <c r="A37" s="49" t="s">
        <v>2</v>
      </c>
      <c r="B37" s="49" t="s">
        <v>3</v>
      </c>
      <c r="C37" s="49" t="s">
        <v>77</v>
      </c>
      <c r="D37" s="49" t="s">
        <v>78</v>
      </c>
      <c r="E37" s="49" t="s">
        <v>79</v>
      </c>
      <c r="F37" s="49" t="s">
        <v>80</v>
      </c>
      <c r="G37" s="49" t="s">
        <v>81</v>
      </c>
      <c r="H37" s="49" t="s">
        <v>82</v>
      </c>
      <c r="I37" s="49" t="s">
        <v>83</v>
      </c>
    </row>
    <row r="38" spans="1:9" ht="16.5">
      <c r="A38" s="37" t="s">
        <v>29</v>
      </c>
      <c r="B38" s="37" t="s">
        <v>59</v>
      </c>
      <c r="C38" s="37" t="s">
        <v>137</v>
      </c>
      <c r="D38" s="37" t="s">
        <v>11</v>
      </c>
      <c r="E38" s="37" t="s">
        <v>11</v>
      </c>
      <c r="F38" s="37" t="s">
        <v>138</v>
      </c>
      <c r="G38" s="37" t="s">
        <v>139</v>
      </c>
      <c r="H38" s="44" t="s">
        <v>86</v>
      </c>
      <c r="I38" s="68" t="s">
        <v>140</v>
      </c>
    </row>
    <row r="39" spans="1:9" ht="16.5">
      <c r="A39" s="37" t="s">
        <v>60</v>
      </c>
      <c r="B39" s="37" t="s">
        <v>61</v>
      </c>
      <c r="C39" s="37" t="s">
        <v>141</v>
      </c>
      <c r="D39" s="37" t="s">
        <v>11</v>
      </c>
      <c r="E39" s="37" t="s">
        <v>11</v>
      </c>
      <c r="F39" s="37" t="s">
        <v>142</v>
      </c>
      <c r="G39" s="37" t="s">
        <v>143</v>
      </c>
      <c r="H39" s="44" t="s">
        <v>86</v>
      </c>
      <c r="I39" s="45" t="s">
        <v>144</v>
      </c>
    </row>
    <row r="40" spans="1:9" ht="16.5">
      <c r="A40" s="37" t="s">
        <v>42</v>
      </c>
      <c r="B40" s="37" t="s">
        <v>63</v>
      </c>
      <c r="C40" s="37" t="s">
        <v>145</v>
      </c>
      <c r="D40" s="37" t="s">
        <v>11</v>
      </c>
      <c r="E40" s="37" t="s">
        <v>11</v>
      </c>
      <c r="F40" s="37" t="s">
        <v>146</v>
      </c>
      <c r="G40" s="37" t="s">
        <v>147</v>
      </c>
      <c r="H40" s="46" t="s">
        <v>86</v>
      </c>
      <c r="I40" s="45"/>
    </row>
    <row r="42" spans="1:9">
      <c r="A42" s="39" t="s">
        <v>95</v>
      </c>
    </row>
    <row r="43" spans="1:9" ht="16.5">
      <c r="A43" s="49" t="s">
        <v>2</v>
      </c>
      <c r="B43" s="49" t="s">
        <v>3</v>
      </c>
      <c r="C43" s="49" t="s">
        <v>96</v>
      </c>
      <c r="D43" s="49" t="s">
        <v>97</v>
      </c>
      <c r="E43" s="49" t="s">
        <v>79</v>
      </c>
      <c r="F43" s="49" t="s">
        <v>98</v>
      </c>
      <c r="G43" s="49" t="s">
        <v>11</v>
      </c>
      <c r="H43" s="49" t="s">
        <v>82</v>
      </c>
      <c r="I43" s="49" t="s">
        <v>83</v>
      </c>
    </row>
    <row r="44" spans="1:9" ht="16.5">
      <c r="A44" s="37" t="s">
        <v>65</v>
      </c>
      <c r="B44" s="37" t="s">
        <v>11</v>
      </c>
      <c r="C44" s="37" t="s">
        <v>148</v>
      </c>
      <c r="D44" s="37" t="s">
        <v>11</v>
      </c>
      <c r="E44" s="37" t="s">
        <v>11</v>
      </c>
      <c r="F44" s="37" t="s">
        <v>11</v>
      </c>
      <c r="G44" s="37"/>
      <c r="H44" s="44" t="s">
        <v>91</v>
      </c>
      <c r="I44" s="45"/>
    </row>
    <row r="45" spans="1:9" ht="16.5">
      <c r="A45" s="37" t="s">
        <v>41</v>
      </c>
      <c r="B45" s="37" t="s">
        <v>11</v>
      </c>
      <c r="C45" s="37" t="s">
        <v>103</v>
      </c>
      <c r="D45" s="37" t="s">
        <v>11</v>
      </c>
      <c r="E45" s="37" t="s">
        <v>11</v>
      </c>
      <c r="F45" s="37" t="s">
        <v>149</v>
      </c>
      <c r="G45" s="37"/>
      <c r="H45" s="44" t="s">
        <v>91</v>
      </c>
      <c r="I45" s="45" t="s">
        <v>150</v>
      </c>
    </row>
    <row r="46" spans="1:9" ht="16.5">
      <c r="A46" s="37" t="s">
        <v>19</v>
      </c>
      <c r="B46" s="37" t="s">
        <v>70</v>
      </c>
      <c r="C46" s="51" t="s">
        <v>335</v>
      </c>
      <c r="D46" s="37" t="s">
        <v>11</v>
      </c>
      <c r="E46" s="37" t="s">
        <v>11</v>
      </c>
      <c r="F46" s="37" t="s">
        <v>11</v>
      </c>
      <c r="G46" s="37" t="s">
        <v>11</v>
      </c>
      <c r="H46" s="44" t="s">
        <v>91</v>
      </c>
      <c r="I46" s="47" t="s">
        <v>336</v>
      </c>
    </row>
    <row r="48" spans="1:9">
      <c r="A48" s="39" t="s">
        <v>153</v>
      </c>
    </row>
    <row r="49" spans="1:9" ht="16.5">
      <c r="A49" s="49" t="s">
        <v>2</v>
      </c>
      <c r="B49" s="49" t="s">
        <v>3</v>
      </c>
      <c r="C49" s="49" t="s">
        <v>11</v>
      </c>
      <c r="D49" s="49" t="s">
        <v>11</v>
      </c>
      <c r="E49" s="49" t="s">
        <v>11</v>
      </c>
      <c r="F49" s="49" t="s">
        <v>11</v>
      </c>
      <c r="G49" s="49" t="s">
        <v>11</v>
      </c>
      <c r="H49" s="49" t="s">
        <v>82</v>
      </c>
      <c r="I49" s="49" t="s">
        <v>83</v>
      </c>
    </row>
    <row r="50" spans="1:9" ht="16.5">
      <c r="A50" s="37" t="s">
        <v>39</v>
      </c>
      <c r="B50" s="37" t="s">
        <v>72</v>
      </c>
      <c r="C50" s="37" t="s">
        <v>11</v>
      </c>
      <c r="D50" s="37" t="s">
        <v>11</v>
      </c>
      <c r="E50" s="37" t="s">
        <v>11</v>
      </c>
      <c r="F50" s="37" t="s">
        <v>11</v>
      </c>
      <c r="G50" s="37" t="s">
        <v>11</v>
      </c>
      <c r="H50" s="44" t="s">
        <v>154</v>
      </c>
      <c r="I50" s="45"/>
    </row>
    <row r="51" spans="1:9" ht="16.5">
      <c r="A51" s="37" t="s">
        <v>45</v>
      </c>
      <c r="B51" s="37" t="s">
        <v>46</v>
      </c>
      <c r="C51" s="37" t="s">
        <v>102</v>
      </c>
      <c r="D51" s="37" t="s">
        <v>11</v>
      </c>
      <c r="E51" s="37" t="s">
        <v>11</v>
      </c>
      <c r="F51" s="37" t="s">
        <v>11</v>
      </c>
      <c r="G51" s="37"/>
      <c r="H51" s="44" t="s">
        <v>151</v>
      </c>
      <c r="I51" s="45" t="s">
        <v>152</v>
      </c>
    </row>
    <row r="52" spans="1:9" ht="16.5">
      <c r="A52" s="37" t="s">
        <v>68</v>
      </c>
      <c r="B52" s="37" t="s">
        <v>11</v>
      </c>
      <c r="C52" s="37" t="s">
        <v>104</v>
      </c>
      <c r="D52" s="37" t="s">
        <v>11</v>
      </c>
      <c r="E52" s="37" t="s">
        <v>11</v>
      </c>
      <c r="F52" s="37" t="s">
        <v>11</v>
      </c>
      <c r="G52" s="37"/>
      <c r="H52" s="44" t="s">
        <v>151</v>
      </c>
      <c r="I52" s="45"/>
    </row>
  </sheetData>
  <mergeCells count="6">
    <mergeCell ref="A1:H1"/>
    <mergeCell ref="A32:H32"/>
    <mergeCell ref="A3:H3"/>
    <mergeCell ref="A25:H25"/>
    <mergeCell ref="A10:H10"/>
    <mergeCell ref="A19:H19"/>
  </mergeCells>
  <phoneticPr fontId="7" type="noConversion"/>
  <conditionalFormatting sqref="H4:H9 H11:H13 H15:H16 H18 H20:H24 H26:H28">
    <cfRule type="cellIs" dxfId="11" priority="15" operator="equal">
      <formula>"✅"</formula>
    </cfRule>
    <cfRule type="cellIs" dxfId="10" priority="16" operator="equal">
      <formula>"⚠️"</formula>
    </cfRule>
  </conditionalFormatting>
  <conditionalFormatting sqref="H14">
    <cfRule type="cellIs" dxfId="9" priority="3" operator="equal">
      <formula>"✅"</formula>
    </cfRule>
    <cfRule type="cellIs" dxfId="8" priority="4" operator="equal">
      <formula>"⚠️"</formula>
    </cfRule>
  </conditionalFormatting>
  <conditionalFormatting sqref="H17">
    <cfRule type="cellIs" dxfId="7" priority="1" operator="equal">
      <formula>"✅"</formula>
    </cfRule>
    <cfRule type="cellIs" dxfId="6" priority="2" operator="equal">
      <formula>"⚠️"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F34"/>
  <sheetViews>
    <sheetView workbookViewId="0">
      <pane ySplit="3" topLeftCell="A16" activePane="bottomLeft" state="frozen"/>
      <selection pane="bottomLeft" activeCell="A27" sqref="A27"/>
    </sheetView>
  </sheetViews>
  <sheetFormatPr defaultRowHeight="13.5"/>
  <cols>
    <col min="1" max="1" width="8" style="32" customWidth="1"/>
    <col min="2" max="2" width="10" style="32" customWidth="1"/>
    <col min="3" max="3" width="14" style="32" customWidth="1"/>
    <col min="4" max="5" width="10" style="32" customWidth="1"/>
    <col min="6" max="6" width="18" style="32" customWidth="1"/>
  </cols>
  <sheetData>
    <row r="1" spans="1:6" ht="30" customHeight="1">
      <c r="A1" s="53" t="s">
        <v>155</v>
      </c>
      <c r="B1" s="54"/>
      <c r="C1" s="54"/>
      <c r="D1" s="54"/>
      <c r="E1" s="54"/>
      <c r="F1" s="54"/>
    </row>
    <row r="2" spans="1:6" ht="15.75" customHeight="1">
      <c r="A2" s="55" t="s">
        <v>156</v>
      </c>
      <c r="B2" s="54"/>
      <c r="C2" s="54"/>
      <c r="D2" s="54"/>
      <c r="E2" s="54"/>
      <c r="F2" s="54"/>
    </row>
    <row r="3" spans="1:6" ht="15" customHeight="1">
      <c r="A3" s="1" t="s">
        <v>7</v>
      </c>
      <c r="B3" s="1" t="s">
        <v>2</v>
      </c>
      <c r="C3" s="1" t="s">
        <v>3</v>
      </c>
      <c r="D3" s="15" t="s">
        <v>157</v>
      </c>
      <c r="E3" s="1" t="s">
        <v>158</v>
      </c>
      <c r="F3" s="1" t="s">
        <v>83</v>
      </c>
    </row>
    <row r="4" spans="1:6" ht="16.5" customHeight="1">
      <c r="A4" s="8" t="s">
        <v>12</v>
      </c>
      <c r="B4" s="8" t="s">
        <v>9</v>
      </c>
      <c r="C4" s="8" t="s">
        <v>10</v>
      </c>
      <c r="D4" s="8">
        <v>50000</v>
      </c>
      <c r="E4" s="18" t="s">
        <v>86</v>
      </c>
      <c r="F4" s="8"/>
    </row>
    <row r="5" spans="1:6" ht="16.5" customHeight="1">
      <c r="A5" s="8" t="s">
        <v>15</v>
      </c>
      <c r="B5" s="8" t="s">
        <v>13</v>
      </c>
      <c r="C5" s="8" t="s">
        <v>14</v>
      </c>
      <c r="D5" s="8">
        <v>0</v>
      </c>
      <c r="E5" s="8" t="s">
        <v>159</v>
      </c>
      <c r="F5" s="8"/>
    </row>
    <row r="6" spans="1:6" ht="16.5" customHeight="1">
      <c r="A6" s="8" t="s">
        <v>18</v>
      </c>
      <c r="B6" s="8" t="s">
        <v>16</v>
      </c>
      <c r="C6" s="8" t="s">
        <v>17</v>
      </c>
      <c r="D6" s="8">
        <v>27000</v>
      </c>
      <c r="E6" s="8" t="s">
        <v>159</v>
      </c>
      <c r="F6" s="8"/>
    </row>
    <row r="7" spans="1:6" ht="16.5" customHeight="1">
      <c r="A7" s="8" t="s">
        <v>21</v>
      </c>
      <c r="B7" s="8" t="s">
        <v>19</v>
      </c>
      <c r="C7" s="8" t="s">
        <v>20</v>
      </c>
      <c r="D7" s="8">
        <v>20000</v>
      </c>
      <c r="E7" s="8" t="s">
        <v>159</v>
      </c>
      <c r="F7" s="8" t="s">
        <v>331</v>
      </c>
    </row>
    <row r="8" spans="1:6" ht="16.5" customHeight="1">
      <c r="A8" s="8" t="s">
        <v>24</v>
      </c>
      <c r="B8" s="8" t="s">
        <v>22</v>
      </c>
      <c r="C8" s="8" t="s">
        <v>126</v>
      </c>
      <c r="D8" s="8">
        <v>60000</v>
      </c>
      <c r="E8" s="8" t="s">
        <v>159</v>
      </c>
      <c r="F8" s="8"/>
    </row>
    <row r="9" spans="1:6" ht="16.5" customHeight="1">
      <c r="A9" s="8" t="s">
        <v>28</v>
      </c>
      <c r="B9" s="8" t="s">
        <v>26</v>
      </c>
      <c r="C9" s="8" t="s">
        <v>27</v>
      </c>
      <c r="D9" s="8">
        <v>20000</v>
      </c>
      <c r="E9" s="8" t="s">
        <v>159</v>
      </c>
      <c r="F9" s="8" t="s">
        <v>332</v>
      </c>
    </row>
    <row r="10" spans="1:6" ht="16.5" customHeight="1">
      <c r="A10" s="8" t="s">
        <v>334</v>
      </c>
      <c r="B10" s="8" t="s">
        <v>48</v>
      </c>
      <c r="C10" s="8" t="s">
        <v>49</v>
      </c>
      <c r="D10" s="8">
        <v>30000</v>
      </c>
      <c r="E10" s="8" t="s">
        <v>159</v>
      </c>
      <c r="F10" s="8"/>
    </row>
    <row r="11" spans="1:6" ht="16.5" customHeight="1">
      <c r="A11" s="8" t="s">
        <v>31</v>
      </c>
      <c r="B11" s="8" t="s">
        <v>29</v>
      </c>
      <c r="C11" s="8" t="s">
        <v>70</v>
      </c>
      <c r="D11" s="8">
        <v>20000</v>
      </c>
      <c r="E11" s="8" t="s">
        <v>159</v>
      </c>
      <c r="F11" s="8"/>
    </row>
    <row r="12" spans="1:6" ht="16.5" customHeight="1">
      <c r="A12" s="8" t="s">
        <v>333</v>
      </c>
      <c r="B12" s="8" t="s">
        <v>41</v>
      </c>
      <c r="C12" s="8" t="s">
        <v>59</v>
      </c>
      <c r="D12" s="8">
        <v>30000</v>
      </c>
      <c r="E12" s="8" t="s">
        <v>159</v>
      </c>
      <c r="F12" s="8"/>
    </row>
    <row r="13" spans="1:6" ht="16.5" customHeight="1">
      <c r="A13" s="8" t="s">
        <v>35</v>
      </c>
      <c r="B13" s="8" t="s">
        <v>33</v>
      </c>
      <c r="C13" s="8" t="s">
        <v>34</v>
      </c>
      <c r="D13" s="8">
        <v>19000</v>
      </c>
      <c r="E13" s="8" t="s">
        <v>159</v>
      </c>
      <c r="F13" s="8"/>
    </row>
    <row r="14" spans="1:6" ht="16.5" customHeight="1">
      <c r="A14" s="8" t="s">
        <v>38</v>
      </c>
      <c r="B14" s="8" t="s">
        <v>36</v>
      </c>
      <c r="C14" s="8" t="s">
        <v>37</v>
      </c>
      <c r="D14" s="8">
        <v>0</v>
      </c>
      <c r="E14" s="8" t="s">
        <v>159</v>
      </c>
      <c r="F14" s="8" t="s">
        <v>331</v>
      </c>
    </row>
    <row r="15" spans="1:6" ht="16.5" customHeight="1">
      <c r="A15" s="8" t="s">
        <v>40</v>
      </c>
      <c r="B15" s="8" t="s">
        <v>39</v>
      </c>
      <c r="C15" s="8" t="s">
        <v>70</v>
      </c>
      <c r="D15" s="8">
        <v>50000</v>
      </c>
      <c r="E15" s="8" t="s">
        <v>159</v>
      </c>
      <c r="F15" s="8"/>
    </row>
    <row r="16" spans="1:6" ht="16.5" customHeight="1">
      <c r="A16" s="8" t="s">
        <v>44</v>
      </c>
      <c r="B16" s="8" t="s">
        <v>42</v>
      </c>
      <c r="C16" s="8" t="s">
        <v>43</v>
      </c>
      <c r="D16" s="8">
        <v>20000</v>
      </c>
      <c r="E16" s="8" t="s">
        <v>159</v>
      </c>
      <c r="F16" s="8"/>
    </row>
    <row r="17" spans="1:6" ht="16.5" customHeight="1">
      <c r="A17" s="8" t="s">
        <v>47</v>
      </c>
      <c r="B17" s="8" t="s">
        <v>45</v>
      </c>
      <c r="C17" s="8" t="s">
        <v>46</v>
      </c>
      <c r="D17" s="8">
        <v>71000</v>
      </c>
      <c r="E17" s="8" t="s">
        <v>159</v>
      </c>
      <c r="F17" s="8"/>
    </row>
    <row r="18" spans="1:6" ht="16.5" customHeight="1">
      <c r="A18" s="8" t="s">
        <v>52</v>
      </c>
      <c r="B18" s="8" t="s">
        <v>50</v>
      </c>
      <c r="C18" s="8" t="s">
        <v>51</v>
      </c>
      <c r="D18" s="8">
        <v>0</v>
      </c>
      <c r="E18" s="8" t="s">
        <v>159</v>
      </c>
      <c r="F18" s="8" t="s">
        <v>160</v>
      </c>
    </row>
    <row r="19" spans="1:6" ht="16.5" customHeight="1">
      <c r="A19" s="8" t="s">
        <v>55</v>
      </c>
      <c r="B19" s="8" t="s">
        <v>53</v>
      </c>
      <c r="C19" s="8" t="s">
        <v>54</v>
      </c>
      <c r="D19" s="8">
        <v>60000</v>
      </c>
      <c r="E19" s="8" t="s">
        <v>159</v>
      </c>
      <c r="F19" s="8"/>
    </row>
    <row r="21" spans="1:6" ht="15.75" customHeight="1">
      <c r="A21" s="55" t="s">
        <v>161</v>
      </c>
      <c r="B21" s="54"/>
      <c r="C21" s="54"/>
      <c r="D21" s="54"/>
      <c r="E21" s="54"/>
      <c r="F21" s="54"/>
    </row>
    <row r="24" spans="1:6" ht="14.25">
      <c r="A24" s="38" t="s">
        <v>162</v>
      </c>
    </row>
    <row r="25" spans="1:6" ht="15">
      <c r="A25" s="40" t="s">
        <v>7</v>
      </c>
      <c r="B25" s="40" t="s">
        <v>2</v>
      </c>
      <c r="C25" s="40" t="s">
        <v>3</v>
      </c>
      <c r="D25" s="40" t="s">
        <v>157</v>
      </c>
      <c r="E25" s="40" t="s">
        <v>158</v>
      </c>
      <c r="F25" s="40" t="s">
        <v>83</v>
      </c>
    </row>
    <row r="26" spans="1:6" ht="33">
      <c r="A26" s="50" t="s">
        <v>339</v>
      </c>
      <c r="B26" s="37" t="s">
        <v>29</v>
      </c>
      <c r="C26" s="37" t="s">
        <v>59</v>
      </c>
      <c r="D26" s="37" t="s">
        <v>11</v>
      </c>
      <c r="E26" s="18" t="s">
        <v>86</v>
      </c>
      <c r="F26" s="37" t="s">
        <v>163</v>
      </c>
    </row>
    <row r="27" spans="1:6" ht="16.5">
      <c r="A27" s="37" t="s">
        <v>11</v>
      </c>
      <c r="B27" s="37" t="s">
        <v>60</v>
      </c>
      <c r="C27" s="37" t="s">
        <v>61</v>
      </c>
      <c r="D27" s="37" t="s">
        <v>11</v>
      </c>
      <c r="E27" s="37" t="s">
        <v>159</v>
      </c>
      <c r="F27" s="37" t="s">
        <v>164</v>
      </c>
    </row>
    <row r="28" spans="1:6" ht="33">
      <c r="A28" s="50" t="s">
        <v>326</v>
      </c>
      <c r="B28" s="37" t="s">
        <v>42</v>
      </c>
      <c r="C28" s="37" t="s">
        <v>63</v>
      </c>
      <c r="D28" s="37" t="s">
        <v>11</v>
      </c>
      <c r="E28" s="37" t="s">
        <v>159</v>
      </c>
      <c r="F28" s="37" t="s">
        <v>163</v>
      </c>
    </row>
    <row r="29" spans="1:6" ht="16.5">
      <c r="A29" s="50" t="s">
        <v>327</v>
      </c>
      <c r="B29" s="37" t="s">
        <v>19</v>
      </c>
      <c r="C29" s="37" t="s">
        <v>70</v>
      </c>
      <c r="D29" s="37" t="s">
        <v>11</v>
      </c>
      <c r="E29" s="37" t="s">
        <v>159</v>
      </c>
      <c r="F29" s="50" t="s">
        <v>328</v>
      </c>
    </row>
    <row r="30" spans="1:6" ht="16.5">
      <c r="A30" s="37" t="s">
        <v>11</v>
      </c>
      <c r="B30" s="37" t="s">
        <v>65</v>
      </c>
      <c r="C30" s="37" t="s">
        <v>11</v>
      </c>
      <c r="D30" s="37" t="s">
        <v>11</v>
      </c>
      <c r="E30" s="37" t="s">
        <v>159</v>
      </c>
      <c r="F30" s="37" t="s">
        <v>165</v>
      </c>
    </row>
    <row r="31" spans="1:6" ht="16.5">
      <c r="A31" s="37" t="s">
        <v>11</v>
      </c>
      <c r="B31" s="37" t="s">
        <v>41</v>
      </c>
      <c r="C31" s="37" t="s">
        <v>11</v>
      </c>
      <c r="D31" s="37" t="s">
        <v>11</v>
      </c>
      <c r="E31" s="37" t="s">
        <v>159</v>
      </c>
      <c r="F31" s="37" t="s">
        <v>165</v>
      </c>
    </row>
    <row r="32" spans="1:6" ht="16.5">
      <c r="A32" s="37" t="s">
        <v>11</v>
      </c>
      <c r="B32" s="37" t="s">
        <v>45</v>
      </c>
      <c r="C32" s="37" t="s">
        <v>46</v>
      </c>
      <c r="D32" s="37" t="s">
        <v>11</v>
      </c>
      <c r="E32" s="37" t="s">
        <v>159</v>
      </c>
      <c r="F32" s="37" t="s">
        <v>151</v>
      </c>
    </row>
    <row r="33" spans="1:6" ht="16.5">
      <c r="A33" s="37" t="s">
        <v>11</v>
      </c>
      <c r="B33" s="37" t="s">
        <v>68</v>
      </c>
      <c r="C33" s="37" t="s">
        <v>11</v>
      </c>
      <c r="D33" s="37" t="s">
        <v>11</v>
      </c>
      <c r="E33" s="37" t="s">
        <v>159</v>
      </c>
      <c r="F33" s="37" t="s">
        <v>151</v>
      </c>
    </row>
    <row r="34" spans="1:6" ht="16.5">
      <c r="A34" s="37" t="s">
        <v>11</v>
      </c>
      <c r="B34" s="37" t="s">
        <v>39</v>
      </c>
      <c r="C34" s="37" t="s">
        <v>72</v>
      </c>
      <c r="D34" s="37" t="s">
        <v>11</v>
      </c>
      <c r="E34" s="37" t="s">
        <v>159</v>
      </c>
      <c r="F34" s="37" t="s">
        <v>154</v>
      </c>
    </row>
  </sheetData>
  <mergeCells count="3">
    <mergeCell ref="A2:F2"/>
    <mergeCell ref="A21:F21"/>
    <mergeCell ref="A1:F1"/>
  </mergeCells>
  <phoneticPr fontId="7" type="noConversion"/>
  <conditionalFormatting sqref="D4:D19">
    <cfRule type="cellIs" dxfId="5" priority="1" operator="equal">
      <formula>"✅"</formula>
    </cfRule>
  </conditionalFormatting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1"/>
  <sheetViews>
    <sheetView workbookViewId="0">
      <pane ySplit="4" topLeftCell="A20" activePane="bottomLeft" state="frozen"/>
      <selection pane="bottomLeft" activeCell="E24" sqref="E24"/>
    </sheetView>
  </sheetViews>
  <sheetFormatPr defaultRowHeight="13.5"/>
  <cols>
    <col min="1" max="1" width="10" style="32" customWidth="1"/>
    <col min="2" max="2" width="8" style="32" customWidth="1"/>
    <col min="3" max="3" width="14" style="32" customWidth="1"/>
    <col min="4" max="4" width="8" style="32" customWidth="1"/>
    <col min="5" max="6" width="10" style="32" customWidth="1"/>
    <col min="7" max="8" width="14" style="32" customWidth="1"/>
  </cols>
  <sheetData>
    <row r="1" spans="1:8" ht="30" customHeight="1">
      <c r="A1" s="53" t="s">
        <v>166</v>
      </c>
      <c r="B1" s="54"/>
      <c r="C1" s="54"/>
      <c r="D1" s="54"/>
      <c r="E1" s="54"/>
      <c r="F1" s="54"/>
      <c r="G1" s="54"/>
      <c r="H1" s="54"/>
    </row>
    <row r="3" spans="1:8" ht="15" customHeight="1">
      <c r="A3" s="62" t="s">
        <v>167</v>
      </c>
      <c r="B3" s="54"/>
      <c r="C3" s="54"/>
      <c r="D3" s="54"/>
      <c r="E3" s="54"/>
      <c r="F3" s="54"/>
      <c r="G3" s="54"/>
      <c r="H3" s="54"/>
    </row>
    <row r="4" spans="1:8" ht="15" customHeight="1">
      <c r="A4" s="1" t="s">
        <v>2</v>
      </c>
      <c r="B4" s="1" t="s">
        <v>168</v>
      </c>
      <c r="C4" s="1" t="s">
        <v>169</v>
      </c>
      <c r="D4" s="1" t="s">
        <v>170</v>
      </c>
      <c r="E4" s="1" t="s">
        <v>171</v>
      </c>
      <c r="F4" s="1" t="s">
        <v>172</v>
      </c>
      <c r="G4" s="1" t="s">
        <v>173</v>
      </c>
      <c r="H4" s="1" t="s">
        <v>174</v>
      </c>
    </row>
    <row r="5" spans="1:8" ht="16.5" customHeight="1">
      <c r="A5" s="8" t="s">
        <v>42</v>
      </c>
      <c r="B5" s="8" t="s">
        <v>175</v>
      </c>
      <c r="C5" s="8">
        <v>3</v>
      </c>
      <c r="D5" s="8">
        <v>0</v>
      </c>
      <c r="E5" s="8">
        <v>3</v>
      </c>
      <c r="F5" s="8" t="s">
        <v>176</v>
      </c>
      <c r="G5" s="8" t="s">
        <v>177</v>
      </c>
      <c r="H5" s="8" t="s">
        <v>178</v>
      </c>
    </row>
    <row r="6" spans="1:8" ht="33" customHeight="1">
      <c r="A6" s="8" t="s">
        <v>42</v>
      </c>
      <c r="B6" s="8" t="s">
        <v>179</v>
      </c>
      <c r="C6" s="8">
        <v>5</v>
      </c>
      <c r="D6" s="8">
        <v>0</v>
      </c>
      <c r="E6" s="8">
        <v>5</v>
      </c>
      <c r="F6" s="8" t="s">
        <v>180</v>
      </c>
      <c r="G6" s="8" t="s">
        <v>181</v>
      </c>
      <c r="H6" s="8" t="s">
        <v>182</v>
      </c>
    </row>
    <row r="7" spans="1:8" ht="16.5" customHeight="1">
      <c r="A7" s="8" t="s">
        <v>36</v>
      </c>
      <c r="B7" s="8" t="s">
        <v>183</v>
      </c>
      <c r="C7" s="8">
        <v>6</v>
      </c>
      <c r="D7" s="8">
        <v>0</v>
      </c>
      <c r="E7" s="8">
        <v>6</v>
      </c>
      <c r="F7" s="8" t="s">
        <v>184</v>
      </c>
      <c r="G7" s="8" t="s">
        <v>185</v>
      </c>
      <c r="H7" s="8" t="s">
        <v>186</v>
      </c>
    </row>
    <row r="8" spans="1:8" ht="16.5" customHeight="1">
      <c r="A8" s="8" t="s">
        <v>36</v>
      </c>
      <c r="B8" s="8" t="s">
        <v>175</v>
      </c>
      <c r="C8" s="8">
        <v>2</v>
      </c>
      <c r="D8" s="8">
        <v>0</v>
      </c>
      <c r="E8" s="8">
        <v>2</v>
      </c>
      <c r="F8" s="8" t="s">
        <v>176</v>
      </c>
      <c r="G8" s="8" t="s">
        <v>187</v>
      </c>
      <c r="H8" s="8" t="s">
        <v>188</v>
      </c>
    </row>
    <row r="9" spans="1:8" ht="33" customHeight="1">
      <c r="A9" s="8" t="s">
        <v>36</v>
      </c>
      <c r="B9" s="8" t="s">
        <v>189</v>
      </c>
      <c r="C9" s="8">
        <v>4</v>
      </c>
      <c r="D9" s="8">
        <v>0</v>
      </c>
      <c r="E9" s="8">
        <v>4</v>
      </c>
      <c r="F9" s="8" t="s">
        <v>180</v>
      </c>
      <c r="G9" s="8" t="s">
        <v>190</v>
      </c>
      <c r="H9" s="8" t="s">
        <v>188</v>
      </c>
    </row>
    <row r="10" spans="1:8" ht="33" customHeight="1">
      <c r="A10" s="37" t="s">
        <v>36</v>
      </c>
      <c r="B10" s="37" t="s">
        <v>191</v>
      </c>
      <c r="C10" s="37">
        <v>6</v>
      </c>
      <c r="D10" s="37">
        <v>0</v>
      </c>
      <c r="E10" s="37">
        <v>6</v>
      </c>
      <c r="F10" s="37" t="s">
        <v>180</v>
      </c>
      <c r="G10" s="37" t="s">
        <v>192</v>
      </c>
      <c r="H10" s="37" t="s">
        <v>193</v>
      </c>
    </row>
    <row r="11" spans="1:8" ht="16.5" customHeight="1">
      <c r="A11" s="8" t="s">
        <v>50</v>
      </c>
      <c r="B11" s="8" t="s">
        <v>194</v>
      </c>
      <c r="C11" s="8">
        <v>6</v>
      </c>
      <c r="D11" s="8">
        <v>0</v>
      </c>
      <c r="E11" s="8">
        <v>6</v>
      </c>
      <c r="F11" s="8" t="s">
        <v>180</v>
      </c>
      <c r="G11" s="8" t="s">
        <v>192</v>
      </c>
      <c r="H11" s="8" t="s">
        <v>182</v>
      </c>
    </row>
    <row r="12" spans="1:8" ht="33" customHeight="1">
      <c r="A12" s="8" t="s">
        <v>50</v>
      </c>
      <c r="B12" s="8" t="s">
        <v>175</v>
      </c>
      <c r="C12" s="8">
        <v>1</v>
      </c>
      <c r="D12" s="8">
        <v>0</v>
      </c>
      <c r="E12" s="8">
        <v>1</v>
      </c>
      <c r="F12" s="8" t="s">
        <v>195</v>
      </c>
      <c r="G12" s="8" t="s">
        <v>195</v>
      </c>
      <c r="H12" s="8" t="s">
        <v>11</v>
      </c>
    </row>
    <row r="13" spans="1:8" ht="33" customHeight="1">
      <c r="A13" s="8" t="s">
        <v>9</v>
      </c>
      <c r="B13" s="8" t="s">
        <v>196</v>
      </c>
      <c r="C13" s="8">
        <v>4</v>
      </c>
      <c r="D13" s="8">
        <v>0</v>
      </c>
      <c r="E13" s="8">
        <v>4</v>
      </c>
      <c r="F13" s="8" t="s">
        <v>176</v>
      </c>
      <c r="G13" s="8" t="s">
        <v>197</v>
      </c>
      <c r="H13" s="8" t="s">
        <v>198</v>
      </c>
    </row>
    <row r="14" spans="1:8" ht="16.5" customHeight="1">
      <c r="A14" s="8" t="s">
        <v>9</v>
      </c>
      <c r="B14" s="8" t="s">
        <v>199</v>
      </c>
      <c r="C14" s="8">
        <v>2</v>
      </c>
      <c r="D14" s="8">
        <v>0</v>
      </c>
      <c r="E14" s="8">
        <v>2</v>
      </c>
      <c r="F14" s="8" t="s">
        <v>200</v>
      </c>
      <c r="G14" s="8" t="s">
        <v>201</v>
      </c>
      <c r="H14" s="8" t="s">
        <v>202</v>
      </c>
    </row>
    <row r="15" spans="1:8" ht="16.5" customHeight="1">
      <c r="A15" s="8" t="s">
        <v>33</v>
      </c>
      <c r="B15" s="8" t="s">
        <v>203</v>
      </c>
      <c r="C15" s="8" t="s">
        <v>204</v>
      </c>
      <c r="D15" s="8">
        <v>0</v>
      </c>
      <c r="E15" s="8" t="s">
        <v>204</v>
      </c>
      <c r="F15" s="8" t="s">
        <v>205</v>
      </c>
      <c r="G15" s="8" t="s">
        <v>11</v>
      </c>
      <c r="H15" s="8" t="s">
        <v>206</v>
      </c>
    </row>
    <row r="16" spans="1:8" ht="16.5" customHeight="1">
      <c r="A16" s="63" t="s">
        <v>16</v>
      </c>
      <c r="B16" s="57"/>
      <c r="C16" s="57"/>
      <c r="D16" s="57"/>
      <c r="E16" s="58"/>
      <c r="F16" s="63" t="s">
        <v>180</v>
      </c>
      <c r="G16" s="58"/>
      <c r="H16" s="8" t="s">
        <v>182</v>
      </c>
    </row>
    <row r="17" spans="1:8" ht="16.5" customHeight="1">
      <c r="A17" s="64" t="s">
        <v>207</v>
      </c>
      <c r="B17" s="58"/>
      <c r="C17">
        <f>SUM(C5:C15)</f>
        <v>39</v>
      </c>
      <c r="D17">
        <f>SUM(D5:D15)</f>
        <v>0</v>
      </c>
      <c r="E17">
        <f>SUM(E5:E15)</f>
        <v>39</v>
      </c>
      <c r="F17" s="64" t="s">
        <v>208</v>
      </c>
      <c r="G17" s="58"/>
      <c r="H17" s="23"/>
    </row>
    <row r="18" spans="1:8" ht="15" customHeight="1">
      <c r="A18" s="54"/>
      <c r="B18" s="54"/>
      <c r="C18" s="54"/>
      <c r="D18" s="54"/>
      <c r="E18" s="54"/>
      <c r="F18" s="54"/>
      <c r="G18" s="54"/>
      <c r="H18" s="54"/>
    </row>
    <row r="19" spans="1:8" ht="15" customHeight="1">
      <c r="A19" s="35" t="s">
        <v>209</v>
      </c>
    </row>
    <row r="20" spans="1:8" ht="16.5" customHeight="1">
      <c r="A20" s="1" t="s">
        <v>210</v>
      </c>
      <c r="B20" s="1" t="s">
        <v>2</v>
      </c>
      <c r="C20" s="1" t="s">
        <v>168</v>
      </c>
      <c r="D20" s="1" t="s">
        <v>211</v>
      </c>
      <c r="E20" s="1" t="s">
        <v>212</v>
      </c>
      <c r="F20" s="1" t="s">
        <v>213</v>
      </c>
      <c r="G20" s="1" t="s">
        <v>83</v>
      </c>
      <c r="H20" s="1"/>
    </row>
    <row r="21" spans="1:8" ht="16.5" customHeight="1">
      <c r="A21" s="8"/>
      <c r="B21" s="8"/>
      <c r="C21" s="8"/>
      <c r="D21" s="8"/>
      <c r="E21" s="8"/>
      <c r="F21" s="8"/>
      <c r="G21" s="8"/>
      <c r="H21" s="8"/>
    </row>
    <row r="22" spans="1:8" ht="16.5" customHeight="1">
      <c r="A22" s="8"/>
      <c r="B22" s="8"/>
      <c r="C22" s="8"/>
      <c r="D22" s="8"/>
      <c r="E22" s="8"/>
      <c r="F22" s="8"/>
      <c r="G22" s="8"/>
      <c r="H22" s="8"/>
    </row>
    <row r="23" spans="1:8" ht="16.5" customHeight="1">
      <c r="A23" s="8"/>
      <c r="B23" s="8"/>
      <c r="C23" s="8"/>
      <c r="D23" s="8"/>
      <c r="E23" s="8"/>
      <c r="F23" s="8"/>
      <c r="G23" s="8"/>
      <c r="H23" s="8"/>
    </row>
    <row r="24" spans="1:8" ht="16.5" customHeight="1">
      <c r="A24" s="8"/>
      <c r="B24" s="8"/>
      <c r="C24" s="8"/>
      <c r="D24" s="8"/>
      <c r="E24" s="8"/>
      <c r="F24" s="8"/>
      <c r="G24" s="8"/>
      <c r="H24" s="8"/>
    </row>
    <row r="25" spans="1:8" ht="16.5" customHeight="1">
      <c r="A25" s="8"/>
      <c r="B25" s="8"/>
      <c r="C25" s="8"/>
      <c r="D25" s="8"/>
      <c r="E25" s="8"/>
      <c r="F25" s="8"/>
      <c r="G25" s="8"/>
      <c r="H25" s="8"/>
    </row>
    <row r="26" spans="1:8" ht="16.5" customHeight="1">
      <c r="A26" s="8"/>
      <c r="B26" s="8"/>
      <c r="C26" s="8"/>
      <c r="D26" s="8"/>
      <c r="E26" s="8"/>
      <c r="F26" s="8"/>
      <c r="G26" s="8"/>
      <c r="H26" s="8"/>
    </row>
    <row r="27" spans="1:8" ht="16.5" customHeight="1">
      <c r="A27" s="8"/>
      <c r="B27" s="8"/>
      <c r="C27" s="8"/>
      <c r="D27" s="8"/>
      <c r="E27" s="8"/>
      <c r="F27" s="8"/>
      <c r="G27" s="8"/>
      <c r="H27" s="8"/>
    </row>
    <row r="28" spans="1:8" ht="16.5" customHeight="1">
      <c r="A28" s="8"/>
      <c r="B28" s="8"/>
      <c r="C28" s="8"/>
      <c r="D28" s="8"/>
      <c r="E28" s="8"/>
      <c r="F28" s="8"/>
      <c r="G28" s="8"/>
      <c r="H28" s="8"/>
    </row>
    <row r="29" spans="1:8" ht="16.5" customHeight="1">
      <c r="A29" s="8"/>
      <c r="B29" s="8"/>
      <c r="C29" s="8"/>
      <c r="D29" s="8"/>
      <c r="E29" s="8"/>
      <c r="F29" s="8"/>
      <c r="G29" s="8"/>
      <c r="H29" s="8"/>
    </row>
    <row r="30" spans="1:8" ht="16.5" customHeight="1">
      <c r="A30" s="8"/>
      <c r="B30" s="8"/>
      <c r="C30" s="8"/>
      <c r="D30" s="8"/>
      <c r="E30" s="8"/>
      <c r="F30" s="8"/>
      <c r="G30" s="8"/>
      <c r="H30" s="8"/>
    </row>
    <row r="33" spans="1:9" ht="14.25" customHeight="1">
      <c r="A33" s="31" t="s">
        <v>214</v>
      </c>
    </row>
    <row r="34" spans="1:9" ht="15">
      <c r="A34" s="40" t="s">
        <v>2</v>
      </c>
      <c r="B34" s="40" t="s">
        <v>3</v>
      </c>
      <c r="C34" s="40" t="s">
        <v>215</v>
      </c>
      <c r="D34" s="40" t="s">
        <v>216</v>
      </c>
      <c r="E34" s="40" t="s">
        <v>217</v>
      </c>
      <c r="F34" s="40" t="s">
        <v>171</v>
      </c>
      <c r="G34" s="40" t="s">
        <v>218</v>
      </c>
      <c r="H34" s="40" t="s">
        <v>219</v>
      </c>
      <c r="I34" t="s">
        <v>83</v>
      </c>
    </row>
    <row r="35" spans="1:9" ht="33">
      <c r="A35" s="37" t="s">
        <v>29</v>
      </c>
      <c r="B35" s="37" t="s">
        <v>59</v>
      </c>
      <c r="C35" s="37" t="s">
        <v>220</v>
      </c>
      <c r="D35" s="37">
        <v>4</v>
      </c>
      <c r="E35" s="37">
        <v>0</v>
      </c>
      <c r="F35" s="37">
        <v>4</v>
      </c>
      <c r="G35" s="37" t="s">
        <v>180</v>
      </c>
      <c r="H35" s="37" t="s">
        <v>221</v>
      </c>
      <c r="I35" t="s">
        <v>222</v>
      </c>
    </row>
    <row r="36" spans="1:9" ht="33">
      <c r="A36" s="37" t="s">
        <v>29</v>
      </c>
      <c r="B36" s="37" t="s">
        <v>59</v>
      </c>
      <c r="C36" s="37" t="s">
        <v>223</v>
      </c>
      <c r="D36" s="37" t="s">
        <v>11</v>
      </c>
      <c r="E36" s="37" t="s">
        <v>11</v>
      </c>
      <c r="F36" s="37" t="s">
        <v>11</v>
      </c>
      <c r="G36" s="37" t="s">
        <v>11</v>
      </c>
      <c r="H36" s="37" t="s">
        <v>11</v>
      </c>
      <c r="I36" t="s">
        <v>224</v>
      </c>
    </row>
    <row r="37" spans="1:9" ht="16.5">
      <c r="A37" s="37" t="s">
        <v>60</v>
      </c>
      <c r="B37" s="37" t="s">
        <v>61</v>
      </c>
      <c r="C37" s="37" t="s">
        <v>183</v>
      </c>
      <c r="D37" s="37">
        <v>6</v>
      </c>
      <c r="E37" s="37">
        <v>0</v>
      </c>
      <c r="F37" s="37">
        <v>6</v>
      </c>
      <c r="G37" s="37" t="s">
        <v>180</v>
      </c>
      <c r="H37" s="37" t="s">
        <v>225</v>
      </c>
    </row>
    <row r="38" spans="1:9" ht="16.5">
      <c r="A38" s="37" t="s">
        <v>60</v>
      </c>
      <c r="B38" s="37" t="s">
        <v>61</v>
      </c>
      <c r="C38" s="37" t="s">
        <v>226</v>
      </c>
      <c r="D38" s="37">
        <v>12</v>
      </c>
      <c r="E38" s="37">
        <v>0</v>
      </c>
      <c r="F38" s="37">
        <v>12</v>
      </c>
      <c r="G38" s="37" t="s">
        <v>11</v>
      </c>
      <c r="H38" s="37" t="s">
        <v>227</v>
      </c>
      <c r="I38" t="s">
        <v>228</v>
      </c>
    </row>
    <row r="39" spans="1:9" ht="33">
      <c r="A39" s="37" t="s">
        <v>42</v>
      </c>
      <c r="B39" s="37" t="s">
        <v>63</v>
      </c>
      <c r="C39" s="37" t="s">
        <v>229</v>
      </c>
      <c r="D39" s="37">
        <v>2</v>
      </c>
      <c r="E39" s="37">
        <v>0</v>
      </c>
      <c r="F39" s="37">
        <v>2</v>
      </c>
      <c r="G39" s="37" t="s">
        <v>195</v>
      </c>
      <c r="H39" s="37" t="s">
        <v>86</v>
      </c>
    </row>
    <row r="40" spans="1:9" ht="33">
      <c r="A40" s="37" t="s">
        <v>42</v>
      </c>
      <c r="B40" s="37" t="s">
        <v>63</v>
      </c>
      <c r="C40" s="37" t="s">
        <v>183</v>
      </c>
      <c r="D40" s="37">
        <v>4</v>
      </c>
      <c r="E40" s="37">
        <v>0</v>
      </c>
      <c r="F40" s="37">
        <v>4</v>
      </c>
      <c r="G40" s="37" t="s">
        <v>180</v>
      </c>
      <c r="H40" s="37" t="s">
        <v>225</v>
      </c>
      <c r="I40" t="s">
        <v>230</v>
      </c>
    </row>
    <row r="41" spans="1:9" ht="33">
      <c r="A41" s="37" t="s">
        <v>42</v>
      </c>
      <c r="B41" s="37" t="s">
        <v>63</v>
      </c>
      <c r="C41" s="37" t="s">
        <v>231</v>
      </c>
      <c r="D41" s="37">
        <v>6</v>
      </c>
      <c r="E41" s="37">
        <v>0</v>
      </c>
      <c r="F41" s="37">
        <v>6</v>
      </c>
      <c r="G41" s="37" t="s">
        <v>11</v>
      </c>
      <c r="H41" s="37" t="s">
        <v>227</v>
      </c>
    </row>
  </sheetData>
  <mergeCells count="7">
    <mergeCell ref="A18:H18"/>
    <mergeCell ref="A1:H1"/>
    <mergeCell ref="A3:H3"/>
    <mergeCell ref="A16:E16"/>
    <mergeCell ref="F16:G16"/>
    <mergeCell ref="A17:B17"/>
    <mergeCell ref="F17:G17"/>
  </mergeCells>
  <phoneticPr fontId="7" type="noConversion"/>
  <conditionalFormatting sqref="E5:E15">
    <cfRule type="cellIs" dxfId="4" priority="1" operator="equal">
      <formula>"0"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H22"/>
  <sheetViews>
    <sheetView workbookViewId="0">
      <pane ySplit="4" topLeftCell="A5" activePane="bottomLeft" state="frozen"/>
      <selection pane="bottomLeft" activeCell="D5" sqref="D5"/>
    </sheetView>
  </sheetViews>
  <sheetFormatPr defaultRowHeight="13.5"/>
  <cols>
    <col min="1" max="2" width="10" style="32" customWidth="1"/>
    <col min="3" max="3" width="14" style="32" customWidth="1"/>
    <col min="4" max="4" width="8" style="32" customWidth="1"/>
    <col min="5" max="8" width="10" style="32" customWidth="1"/>
  </cols>
  <sheetData>
    <row r="1" spans="1:8" ht="30" customHeight="1">
      <c r="A1" s="53" t="s">
        <v>232</v>
      </c>
      <c r="B1" s="54"/>
      <c r="C1" s="54"/>
      <c r="D1" s="54"/>
      <c r="E1" s="54"/>
      <c r="F1" s="54"/>
      <c r="G1" s="54"/>
      <c r="H1" s="54"/>
    </row>
    <row r="3" spans="1:8" ht="15" customHeight="1">
      <c r="A3" s="62" t="s">
        <v>233</v>
      </c>
      <c r="B3" s="54"/>
      <c r="C3" s="54"/>
      <c r="D3" s="54"/>
      <c r="E3" s="54"/>
    </row>
    <row r="4" spans="1:8" ht="15" customHeight="1">
      <c r="A4" s="1" t="s">
        <v>234</v>
      </c>
      <c r="B4" s="1" t="s">
        <v>2</v>
      </c>
      <c r="C4" s="1" t="s">
        <v>235</v>
      </c>
      <c r="D4" s="1" t="s">
        <v>236</v>
      </c>
      <c r="E4" s="1" t="s">
        <v>237</v>
      </c>
    </row>
    <row r="5" spans="1:8" ht="49.5" customHeight="1">
      <c r="A5" s="8" t="s">
        <v>238</v>
      </c>
      <c r="B5" s="8" t="s">
        <v>48</v>
      </c>
      <c r="C5" s="8" t="s">
        <v>239</v>
      </c>
      <c r="D5" s="8" t="s">
        <v>240</v>
      </c>
      <c r="E5" s="8" t="s">
        <v>241</v>
      </c>
    </row>
    <row r="6" spans="1:8" ht="33" customHeight="1">
      <c r="A6" s="8" t="s">
        <v>242</v>
      </c>
      <c r="B6" s="8" t="s">
        <v>19</v>
      </c>
      <c r="C6" s="8" t="s">
        <v>243</v>
      </c>
      <c r="D6" s="8" t="s">
        <v>244</v>
      </c>
      <c r="E6" s="8" t="s">
        <v>241</v>
      </c>
    </row>
    <row r="7" spans="1:8" ht="33" customHeight="1">
      <c r="A7" s="8" t="s">
        <v>245</v>
      </c>
      <c r="B7" s="8" t="s">
        <v>26</v>
      </c>
      <c r="C7" s="8" t="s">
        <v>246</v>
      </c>
      <c r="D7" s="8" t="s">
        <v>247</v>
      </c>
      <c r="E7" s="8" t="s">
        <v>241</v>
      </c>
    </row>
    <row r="8" spans="1:8" ht="33" customHeight="1">
      <c r="A8" s="8" t="s">
        <v>248</v>
      </c>
      <c r="B8" s="8" t="s">
        <v>249</v>
      </c>
      <c r="C8" s="8" t="s">
        <v>250</v>
      </c>
      <c r="D8" s="8" t="s">
        <v>251</v>
      </c>
      <c r="E8" s="8" t="s">
        <v>252</v>
      </c>
    </row>
    <row r="11" spans="1:8" ht="15" customHeight="1">
      <c r="A11" s="62" t="s">
        <v>253</v>
      </c>
      <c r="B11" s="54"/>
      <c r="C11" s="54"/>
      <c r="D11" s="54"/>
      <c r="E11" s="54"/>
      <c r="F11" s="54"/>
      <c r="G11" s="54"/>
      <c r="H11" s="54"/>
    </row>
    <row r="12" spans="1:8" ht="15" customHeight="1">
      <c r="A12" s="1" t="s">
        <v>210</v>
      </c>
      <c r="B12" s="1" t="s">
        <v>2</v>
      </c>
      <c r="C12" s="1" t="s">
        <v>254</v>
      </c>
      <c r="D12" s="1" t="s">
        <v>255</v>
      </c>
      <c r="E12" s="1" t="s">
        <v>256</v>
      </c>
      <c r="F12" s="1" t="s">
        <v>257</v>
      </c>
      <c r="G12" s="1" t="s">
        <v>258</v>
      </c>
      <c r="H12" s="1" t="s">
        <v>259</v>
      </c>
    </row>
    <row r="13" spans="1:8" ht="16.5" customHeight="1">
      <c r="A13" s="8"/>
      <c r="B13" s="8"/>
      <c r="C13" s="8"/>
      <c r="D13" s="8"/>
      <c r="E13" s="8"/>
      <c r="F13" s="8"/>
      <c r="G13" s="8"/>
      <c r="H13" s="8"/>
    </row>
    <row r="14" spans="1:8" ht="16.5" customHeight="1">
      <c r="A14" s="8"/>
      <c r="B14" s="8"/>
      <c r="C14" s="8"/>
      <c r="D14" s="8"/>
      <c r="E14" s="8"/>
      <c r="F14" s="8"/>
      <c r="G14" s="8"/>
      <c r="H14" s="8"/>
    </row>
    <row r="15" spans="1:8" ht="16.5" customHeight="1">
      <c r="A15" s="8"/>
      <c r="B15" s="8"/>
      <c r="C15" s="8"/>
      <c r="D15" s="8"/>
      <c r="E15" s="8"/>
      <c r="F15" s="8"/>
      <c r="G15" s="8"/>
      <c r="H15" s="8"/>
    </row>
    <row r="16" spans="1:8" ht="16.5" customHeight="1">
      <c r="A16" s="8"/>
      <c r="B16" s="8"/>
      <c r="C16" s="8"/>
      <c r="D16" s="8"/>
      <c r="E16" s="8"/>
      <c r="F16" s="8"/>
      <c r="G16" s="8"/>
      <c r="H16" s="8"/>
    </row>
    <row r="17" spans="1:8" ht="16.5" customHeight="1">
      <c r="A17" s="8"/>
      <c r="B17" s="8"/>
      <c r="C17" s="8"/>
      <c r="D17" s="8"/>
      <c r="E17" s="8"/>
      <c r="F17" s="8"/>
      <c r="G17" s="8"/>
      <c r="H17" s="8"/>
    </row>
    <row r="18" spans="1:8" ht="16.5" customHeight="1">
      <c r="A18" s="8"/>
      <c r="B18" s="8"/>
      <c r="C18" s="8"/>
      <c r="D18" s="8"/>
      <c r="E18" s="8"/>
      <c r="F18" s="8"/>
      <c r="G18" s="8"/>
      <c r="H18" s="8"/>
    </row>
    <row r="19" spans="1:8" ht="16.5" customHeight="1">
      <c r="A19" s="8"/>
      <c r="B19" s="8"/>
      <c r="C19" s="8"/>
      <c r="D19" s="8"/>
      <c r="E19" s="8"/>
      <c r="F19" s="8"/>
      <c r="G19" s="8"/>
      <c r="H19" s="8"/>
    </row>
    <row r="20" spans="1:8" ht="16.5" customHeight="1">
      <c r="A20" s="8"/>
      <c r="B20" s="8"/>
      <c r="C20" s="8"/>
      <c r="D20" s="8"/>
      <c r="E20" s="8"/>
      <c r="F20" s="8"/>
      <c r="G20" s="8"/>
      <c r="H20" s="8"/>
    </row>
    <row r="21" spans="1:8" ht="16.5" customHeight="1">
      <c r="A21" s="8"/>
      <c r="B21" s="8"/>
      <c r="C21" s="8"/>
      <c r="D21" s="8"/>
      <c r="E21" s="8"/>
      <c r="F21" s="8"/>
      <c r="G21" s="8"/>
      <c r="H21" s="8"/>
    </row>
    <row r="22" spans="1:8" ht="16.5" customHeight="1">
      <c r="A22" s="8"/>
      <c r="B22" s="8"/>
      <c r="C22" s="8"/>
      <c r="D22" s="8"/>
      <c r="E22" s="8"/>
      <c r="F22" s="8"/>
      <c r="G22" s="8"/>
      <c r="H22" s="8"/>
    </row>
  </sheetData>
  <mergeCells count="3">
    <mergeCell ref="A3:E3"/>
    <mergeCell ref="A11:H11"/>
    <mergeCell ref="A1:H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5"/>
  <sheetViews>
    <sheetView workbookViewId="0">
      <pane ySplit="4" topLeftCell="A14" activePane="bottomLeft" state="frozen"/>
      <selection pane="bottomLeft" activeCell="I14" sqref="I14"/>
    </sheetView>
  </sheetViews>
  <sheetFormatPr defaultRowHeight="13.5"/>
  <cols>
    <col min="1" max="1" width="14" style="32" customWidth="1"/>
    <col min="2" max="2" width="18" style="32" customWidth="1"/>
    <col min="3" max="3" width="14" style="32" customWidth="1"/>
    <col min="4" max="4" width="12" style="32" customWidth="1"/>
    <col min="5" max="5" width="14" style="32" customWidth="1"/>
    <col min="6" max="6" width="18" style="32" customWidth="1"/>
  </cols>
  <sheetData>
    <row r="1" spans="1:6" ht="30" customHeight="1">
      <c r="A1" s="53" t="s">
        <v>260</v>
      </c>
      <c r="B1" s="54"/>
      <c r="C1" s="54"/>
      <c r="D1" s="54"/>
      <c r="E1" s="54"/>
      <c r="F1" s="54"/>
    </row>
    <row r="3" spans="1:6" ht="15" customHeight="1">
      <c r="A3" s="62" t="s">
        <v>261</v>
      </c>
      <c r="B3" s="54"/>
      <c r="C3" s="54"/>
      <c r="D3" s="54"/>
      <c r="E3" s="54"/>
      <c r="F3" s="54"/>
    </row>
    <row r="4" spans="1:6" ht="15" customHeight="1">
      <c r="A4" s="5" t="s">
        <v>2</v>
      </c>
      <c r="B4" s="5" t="s">
        <v>3</v>
      </c>
      <c r="C4" s="5" t="s">
        <v>262</v>
      </c>
      <c r="D4" s="5" t="s">
        <v>255</v>
      </c>
      <c r="E4" s="5" t="s">
        <v>263</v>
      </c>
      <c r="F4" s="5" t="s">
        <v>83</v>
      </c>
    </row>
    <row r="5" spans="1:6" ht="16.5" customHeight="1">
      <c r="A5" s="8" t="s">
        <v>29</v>
      </c>
      <c r="B5" s="8" t="s">
        <v>70</v>
      </c>
      <c r="C5" s="8">
        <v>480</v>
      </c>
      <c r="D5" s="8" t="s">
        <v>264</v>
      </c>
      <c r="E5" s="8">
        <v>480</v>
      </c>
      <c r="F5" s="8" t="s">
        <v>123</v>
      </c>
    </row>
    <row r="6" spans="1:6" ht="16.5" customHeight="1">
      <c r="A6" s="8" t="s">
        <v>22</v>
      </c>
      <c r="B6" s="8" t="s">
        <v>126</v>
      </c>
      <c r="C6" s="8">
        <v>500</v>
      </c>
      <c r="D6" s="8" t="s">
        <v>264</v>
      </c>
      <c r="E6" s="8">
        <v>500</v>
      </c>
      <c r="F6" s="8" t="s">
        <v>127</v>
      </c>
    </row>
    <row r="7" spans="1:6" ht="16.5" customHeight="1">
      <c r="A7" s="8" t="s">
        <v>9</v>
      </c>
      <c r="B7" s="8" t="s">
        <v>10</v>
      </c>
      <c r="C7" s="8">
        <v>900</v>
      </c>
      <c r="D7" s="8" t="s">
        <v>264</v>
      </c>
      <c r="E7" s="8">
        <v>900</v>
      </c>
      <c r="F7" s="8" t="s">
        <v>130</v>
      </c>
    </row>
    <row r="8" spans="1:6" ht="16.5" customHeight="1">
      <c r="A8" s="66" t="s">
        <v>48</v>
      </c>
      <c r="B8" s="58"/>
      <c r="C8" s="37">
        <v>500</v>
      </c>
      <c r="D8" s="37" t="s">
        <v>265</v>
      </c>
      <c r="E8" s="37" t="s">
        <v>11</v>
      </c>
      <c r="F8" s="37" t="s">
        <v>266</v>
      </c>
    </row>
    <row r="9" spans="1:6" ht="16.5" customHeight="1">
      <c r="A9" s="37" t="s">
        <v>16</v>
      </c>
      <c r="B9" s="37" t="s">
        <v>17</v>
      </c>
      <c r="C9" s="37">
        <v>1800</v>
      </c>
      <c r="D9" s="37" t="s">
        <v>267</v>
      </c>
      <c r="E9" s="37" t="s">
        <v>11</v>
      </c>
      <c r="F9" s="37" t="s">
        <v>116</v>
      </c>
    </row>
    <row r="10" spans="1:6" ht="15" customHeight="1">
      <c r="A10" s="65"/>
      <c r="B10" s="57"/>
      <c r="C10" s="57"/>
      <c r="D10" s="57"/>
      <c r="E10" s="57"/>
      <c r="F10" s="58"/>
    </row>
    <row r="11" spans="1:6" ht="15" customHeight="1">
      <c r="A11" s="64" t="s">
        <v>207</v>
      </c>
      <c r="B11" s="58"/>
      <c r="C11" s="36">
        <f>SUM(C5:C9)</f>
        <v>4180</v>
      </c>
      <c r="D11" s="23"/>
      <c r="E11" s="36">
        <f>SUM(E5:E9)</f>
        <v>1880</v>
      </c>
      <c r="F11" s="23"/>
    </row>
    <row r="12" spans="1:6" ht="16.5" customHeight="1"/>
    <row r="13" spans="1:6" ht="16.5" customHeight="1">
      <c r="A13" s="35" t="s">
        <v>268</v>
      </c>
    </row>
    <row r="14" spans="1:6" ht="16.5" customHeight="1">
      <c r="A14" s="6" t="s">
        <v>269</v>
      </c>
      <c r="B14" s="6" t="s">
        <v>270</v>
      </c>
      <c r="C14" s="6" t="s">
        <v>271</v>
      </c>
      <c r="D14" s="6" t="s">
        <v>11</v>
      </c>
      <c r="E14" s="6" t="s">
        <v>11</v>
      </c>
      <c r="F14" s="6" t="s">
        <v>11</v>
      </c>
    </row>
    <row r="15" spans="1:6" ht="16.5" customHeight="1">
      <c r="A15" s="8" t="s">
        <v>272</v>
      </c>
      <c r="B15" s="8" t="s">
        <v>273</v>
      </c>
      <c r="C15" s="8">
        <v>0</v>
      </c>
    </row>
    <row r="16" spans="1:6" ht="16.5" customHeight="1">
      <c r="A16" s="8" t="s">
        <v>274</v>
      </c>
      <c r="B16" s="8" t="s">
        <v>11</v>
      </c>
      <c r="C16" s="8">
        <v>0</v>
      </c>
    </row>
    <row r="17" spans="1:6" ht="15" customHeight="1">
      <c r="A17" s="63" t="s">
        <v>275</v>
      </c>
      <c r="B17" s="57"/>
      <c r="C17" s="57"/>
      <c r="D17" s="57"/>
      <c r="E17" s="57"/>
      <c r="F17" s="58"/>
    </row>
    <row r="18" spans="1:6" ht="15" customHeight="1">
      <c r="A18" s="11" t="s">
        <v>207</v>
      </c>
      <c r="B18" s="11" t="s">
        <v>273</v>
      </c>
      <c r="C18" s="11">
        <v>0</v>
      </c>
      <c r="D18" s="7"/>
      <c r="E18" s="7"/>
      <c r="F18" s="7"/>
    </row>
    <row r="19" spans="1:6" ht="16.5" customHeight="1"/>
    <row r="20" spans="1:6" ht="16.5" customHeight="1">
      <c r="A20" s="35" t="s">
        <v>276</v>
      </c>
    </row>
    <row r="21" spans="1:6" ht="16.5" customHeight="1">
      <c r="A21" s="1" t="s">
        <v>277</v>
      </c>
      <c r="B21" s="1" t="s">
        <v>278</v>
      </c>
      <c r="C21" s="1" t="s">
        <v>11</v>
      </c>
      <c r="D21" s="1" t="s">
        <v>11</v>
      </c>
      <c r="E21" s="1" t="s">
        <v>11</v>
      </c>
      <c r="F21" s="1" t="s">
        <v>11</v>
      </c>
    </row>
    <row r="22" spans="1:6" ht="16.5" customHeight="1">
      <c r="A22" s="24" t="s">
        <v>279</v>
      </c>
      <c r="B22" s="25" t="s">
        <v>280</v>
      </c>
    </row>
    <row r="23" spans="1:6" ht="15.75" customHeight="1">
      <c r="A23" s="63" t="s">
        <v>173</v>
      </c>
      <c r="B23" s="57"/>
      <c r="C23" s="57"/>
      <c r="D23" s="57"/>
      <c r="E23" s="57"/>
      <c r="F23" s="58"/>
    </row>
    <row r="24" spans="1:6" ht="16.5" customHeight="1">
      <c r="A24" s="8" t="s">
        <v>279</v>
      </c>
      <c r="B24" s="8" t="s">
        <v>281</v>
      </c>
    </row>
    <row r="26" spans="1:6" ht="15.75" customHeight="1">
      <c r="A26" s="33" t="s">
        <v>282</v>
      </c>
    </row>
    <row r="29" spans="1:6" ht="14.25" customHeight="1">
      <c r="A29" s="31" t="s">
        <v>283</v>
      </c>
    </row>
    <row r="30" spans="1:6" ht="15">
      <c r="A30" s="48" t="s">
        <v>2</v>
      </c>
      <c r="B30" s="48" t="s">
        <v>3</v>
      </c>
      <c r="C30" s="48" t="s">
        <v>262</v>
      </c>
      <c r="D30" s="48" t="s">
        <v>255</v>
      </c>
      <c r="E30" s="48" t="s">
        <v>263</v>
      </c>
      <c r="F30" s="48" t="s">
        <v>83</v>
      </c>
    </row>
    <row r="31" spans="1:6" ht="16.5">
      <c r="A31" s="37" t="s">
        <v>29</v>
      </c>
      <c r="B31" s="37" t="s">
        <v>59</v>
      </c>
      <c r="C31" s="37">
        <v>980</v>
      </c>
      <c r="D31" s="37" t="s">
        <v>265</v>
      </c>
      <c r="E31" s="37" t="s">
        <v>11</v>
      </c>
      <c r="F31" s="37" t="s">
        <v>284</v>
      </c>
    </row>
    <row r="32" spans="1:6" ht="16.5">
      <c r="A32" s="37" t="s">
        <v>60</v>
      </c>
      <c r="B32" s="37" t="s">
        <v>61</v>
      </c>
      <c r="C32" s="37">
        <v>500</v>
      </c>
      <c r="D32" s="37" t="s">
        <v>285</v>
      </c>
      <c r="E32" s="37" t="s">
        <v>11</v>
      </c>
      <c r="F32" s="37" t="s">
        <v>286</v>
      </c>
    </row>
    <row r="33" spans="1:6" ht="16.5">
      <c r="A33" s="37" t="s">
        <v>42</v>
      </c>
      <c r="B33" s="37" t="s">
        <v>63</v>
      </c>
      <c r="C33" s="37">
        <v>580</v>
      </c>
      <c r="D33" s="37" t="s">
        <v>265</v>
      </c>
      <c r="E33" s="37" t="s">
        <v>11</v>
      </c>
      <c r="F33" s="37" t="s">
        <v>287</v>
      </c>
    </row>
    <row r="34" spans="1:6" ht="16.5">
      <c r="A34" s="37" t="s">
        <v>65</v>
      </c>
      <c r="B34" s="34" t="s">
        <v>11</v>
      </c>
      <c r="C34" s="37" t="s">
        <v>11</v>
      </c>
      <c r="D34" s="37" t="s">
        <v>288</v>
      </c>
      <c r="E34" s="37" t="s">
        <v>11</v>
      </c>
      <c r="F34" s="37" t="s">
        <v>289</v>
      </c>
    </row>
    <row r="35" spans="1:6" ht="16.5">
      <c r="A35" s="37" t="s">
        <v>41</v>
      </c>
      <c r="B35" s="37" t="s">
        <v>11</v>
      </c>
      <c r="C35" s="37" t="s">
        <v>11</v>
      </c>
      <c r="D35" s="37" t="s">
        <v>290</v>
      </c>
      <c r="E35" s="37" t="s">
        <v>11</v>
      </c>
      <c r="F35" s="37" t="s">
        <v>103</v>
      </c>
    </row>
  </sheetData>
  <mergeCells count="7">
    <mergeCell ref="A10:F10"/>
    <mergeCell ref="A1:F1"/>
    <mergeCell ref="A11:B11"/>
    <mergeCell ref="A23:F23"/>
    <mergeCell ref="A17:F17"/>
    <mergeCell ref="A3:F3"/>
    <mergeCell ref="A8:B8"/>
  </mergeCells>
  <phoneticPr fontId="7" type="noConversion"/>
  <pageMargins left="0.75" right="0.75" top="1" bottom="1" header="0.5" footer="0.5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8"/>
  <sheetViews>
    <sheetView workbookViewId="0">
      <pane ySplit="3" topLeftCell="A4" activePane="bottomLeft" state="frozen"/>
      <selection pane="bottomLeft" activeCell="H22" sqref="H22"/>
    </sheetView>
  </sheetViews>
  <sheetFormatPr defaultRowHeight="13.5"/>
  <cols>
    <col min="1" max="1" width="10" style="32" customWidth="1"/>
    <col min="2" max="2" width="12" style="32" customWidth="1"/>
    <col min="3" max="5" width="10" style="32" customWidth="1"/>
    <col min="6" max="6" width="8" style="32" customWidth="1"/>
    <col min="7" max="8" width="10" style="32" customWidth="1"/>
  </cols>
  <sheetData>
    <row r="1" spans="1:8" ht="30" customHeight="1">
      <c r="A1" s="53" t="s">
        <v>291</v>
      </c>
      <c r="B1" s="54"/>
      <c r="C1" s="54"/>
      <c r="D1" s="54"/>
      <c r="E1" s="54"/>
      <c r="F1" s="54"/>
      <c r="G1" s="54"/>
      <c r="H1" s="54"/>
    </row>
    <row r="2" spans="1:8" ht="15.75" customHeight="1">
      <c r="A2" s="55" t="s">
        <v>292</v>
      </c>
      <c r="B2" s="54"/>
      <c r="C2" s="54"/>
      <c r="D2" s="54"/>
      <c r="E2" s="54"/>
      <c r="F2" s="54"/>
      <c r="G2" s="54"/>
      <c r="H2" s="54"/>
    </row>
    <row r="3" spans="1:8" ht="15" customHeight="1">
      <c r="A3" s="1" t="s">
        <v>2</v>
      </c>
      <c r="B3" s="1" t="s">
        <v>3</v>
      </c>
      <c r="C3" s="1" t="s">
        <v>293</v>
      </c>
      <c r="D3" s="1" t="s">
        <v>294</v>
      </c>
      <c r="E3" s="1" t="s">
        <v>295</v>
      </c>
      <c r="F3" s="1" t="s">
        <v>79</v>
      </c>
      <c r="G3" s="1" t="s">
        <v>296</v>
      </c>
      <c r="H3" s="1" t="s">
        <v>297</v>
      </c>
    </row>
    <row r="4" spans="1:8" ht="16.5" customHeight="1">
      <c r="A4" s="8" t="s">
        <v>42</v>
      </c>
      <c r="B4" s="8" t="s">
        <v>43</v>
      </c>
      <c r="C4" s="8" t="s">
        <v>298</v>
      </c>
      <c r="D4" s="8" t="s">
        <v>11</v>
      </c>
      <c r="E4" s="8">
        <v>400000</v>
      </c>
      <c r="F4" s="8" t="s">
        <v>11</v>
      </c>
      <c r="G4" s="8" t="s">
        <v>119</v>
      </c>
      <c r="H4" s="8" t="s">
        <v>11</v>
      </c>
    </row>
    <row r="5" spans="1:8" ht="16.5" customHeight="1">
      <c r="A5" s="8" t="s">
        <v>36</v>
      </c>
      <c r="B5" s="8" t="s">
        <v>37</v>
      </c>
      <c r="C5" s="8" t="s">
        <v>298</v>
      </c>
      <c r="D5" s="8" t="s">
        <v>11</v>
      </c>
      <c r="E5" s="8">
        <v>200000</v>
      </c>
      <c r="F5" s="8" t="s">
        <v>11</v>
      </c>
      <c r="G5" s="8" t="s">
        <v>119</v>
      </c>
      <c r="H5" s="8" t="s">
        <v>11</v>
      </c>
    </row>
    <row r="6" spans="1:8" ht="16.5" customHeight="1">
      <c r="A6" s="8" t="s">
        <v>48</v>
      </c>
      <c r="B6" s="8" t="s">
        <v>49</v>
      </c>
      <c r="C6" s="8" t="s">
        <v>298</v>
      </c>
      <c r="D6" s="8" t="s">
        <v>11</v>
      </c>
      <c r="E6" s="8">
        <v>100000</v>
      </c>
      <c r="F6" s="8" t="s">
        <v>11</v>
      </c>
      <c r="G6" s="8" t="s">
        <v>119</v>
      </c>
      <c r="H6" s="8" t="s">
        <v>11</v>
      </c>
    </row>
    <row r="7" spans="1:8" ht="16.5" customHeight="1">
      <c r="A7" s="8" t="s">
        <v>33</v>
      </c>
      <c r="B7" s="8" t="s">
        <v>34</v>
      </c>
      <c r="C7" s="8" t="s">
        <v>298</v>
      </c>
      <c r="D7" s="8" t="s">
        <v>11</v>
      </c>
      <c r="E7" s="8">
        <v>200000</v>
      </c>
      <c r="F7" s="8" t="s">
        <v>11</v>
      </c>
      <c r="G7" s="8" t="s">
        <v>119</v>
      </c>
      <c r="H7" s="8" t="s">
        <v>11</v>
      </c>
    </row>
    <row r="8" spans="1:8" ht="16.5" customHeight="1">
      <c r="A8" s="8" t="s">
        <v>19</v>
      </c>
      <c r="B8" s="8" t="s">
        <v>20</v>
      </c>
      <c r="C8" s="8" t="s">
        <v>298</v>
      </c>
      <c r="D8" s="8" t="s">
        <v>11</v>
      </c>
      <c r="E8" s="8" t="s">
        <v>11</v>
      </c>
      <c r="F8" s="8" t="s">
        <v>11</v>
      </c>
      <c r="G8" s="8" t="s">
        <v>299</v>
      </c>
      <c r="H8" s="8" t="s">
        <v>11</v>
      </c>
    </row>
    <row r="9" spans="1:8" ht="16.5" customHeight="1">
      <c r="A9" s="8" t="s">
        <v>45</v>
      </c>
      <c r="B9" s="8" t="s">
        <v>46</v>
      </c>
      <c r="C9" s="8" t="s">
        <v>298</v>
      </c>
      <c r="D9" s="8" t="s">
        <v>11</v>
      </c>
      <c r="E9" s="8" t="s">
        <v>11</v>
      </c>
      <c r="F9" s="8" t="s">
        <v>11</v>
      </c>
      <c r="G9" s="8" t="s">
        <v>299</v>
      </c>
      <c r="H9" s="8" t="s">
        <v>11</v>
      </c>
    </row>
    <row r="10" spans="1:8" ht="16.5" customHeight="1">
      <c r="A10" s="8" t="s">
        <v>53</v>
      </c>
      <c r="B10" s="8" t="s">
        <v>54</v>
      </c>
      <c r="C10" s="8" t="s">
        <v>298</v>
      </c>
      <c r="D10" s="8" t="s">
        <v>11</v>
      </c>
      <c r="E10" s="8" t="s">
        <v>11</v>
      </c>
      <c r="F10" s="8" t="s">
        <v>11</v>
      </c>
      <c r="G10" s="8" t="s">
        <v>300</v>
      </c>
      <c r="H10" s="8" t="s">
        <v>11</v>
      </c>
    </row>
    <row r="13" spans="1:8" ht="14.25" customHeight="1">
      <c r="A13" s="31" t="s">
        <v>301</v>
      </c>
    </row>
    <row r="14" spans="1:8" ht="15">
      <c r="A14" s="40" t="s">
        <v>2</v>
      </c>
      <c r="B14" s="40" t="s">
        <v>3</v>
      </c>
      <c r="C14" s="40" t="s">
        <v>293</v>
      </c>
      <c r="D14" s="40" t="s">
        <v>294</v>
      </c>
      <c r="E14" s="40" t="s">
        <v>295</v>
      </c>
      <c r="F14" s="40" t="s">
        <v>79</v>
      </c>
      <c r="G14" s="40" t="s">
        <v>296</v>
      </c>
      <c r="H14" s="40" t="s">
        <v>297</v>
      </c>
    </row>
    <row r="15" spans="1:8" ht="16.5">
      <c r="A15" s="37" t="s">
        <v>29</v>
      </c>
      <c r="B15" s="37" t="s">
        <v>59</v>
      </c>
      <c r="C15" s="37" t="s">
        <v>298</v>
      </c>
      <c r="D15" s="37" t="s">
        <v>11</v>
      </c>
      <c r="E15" s="37" t="s">
        <v>302</v>
      </c>
      <c r="F15" s="37" t="s">
        <v>11</v>
      </c>
      <c r="G15" s="37" t="s">
        <v>119</v>
      </c>
      <c r="H15" s="37" t="s">
        <v>11</v>
      </c>
    </row>
    <row r="16" spans="1:8" ht="16.5">
      <c r="A16" s="37" t="s">
        <v>60</v>
      </c>
      <c r="B16" s="37" t="s">
        <v>61</v>
      </c>
      <c r="C16" s="37" t="s">
        <v>298</v>
      </c>
      <c r="D16" s="37" t="s">
        <v>11</v>
      </c>
      <c r="E16" s="37" t="s">
        <v>303</v>
      </c>
      <c r="F16" s="37" t="s">
        <v>11</v>
      </c>
      <c r="G16" s="37" t="s">
        <v>119</v>
      </c>
      <c r="H16" s="37" t="s">
        <v>11</v>
      </c>
    </row>
    <row r="17" spans="1:8" ht="16.5">
      <c r="A17" s="37" t="s">
        <v>42</v>
      </c>
      <c r="B17" s="37" t="s">
        <v>63</v>
      </c>
      <c r="C17" s="37" t="s">
        <v>298</v>
      </c>
      <c r="D17" s="37" t="s">
        <v>11</v>
      </c>
      <c r="E17" s="37" t="s">
        <v>304</v>
      </c>
      <c r="F17" s="37" t="s">
        <v>11</v>
      </c>
      <c r="G17" s="37" t="s">
        <v>119</v>
      </c>
      <c r="H17" s="37" t="s">
        <v>11</v>
      </c>
    </row>
    <row r="18" spans="1:8" ht="16.5">
      <c r="A18" s="37" t="s">
        <v>68</v>
      </c>
      <c r="B18" s="37" t="s">
        <v>54</v>
      </c>
      <c r="C18" s="37" t="s">
        <v>298</v>
      </c>
      <c r="D18" s="37" t="s">
        <v>11</v>
      </c>
      <c r="E18" s="37" t="s">
        <v>11</v>
      </c>
      <c r="F18" s="37" t="s">
        <v>11</v>
      </c>
      <c r="G18" s="37" t="s">
        <v>300</v>
      </c>
      <c r="H18" s="37" t="s">
        <v>151</v>
      </c>
    </row>
  </sheetData>
  <mergeCells count="2">
    <mergeCell ref="A2:H2"/>
    <mergeCell ref="A1:H1"/>
  </mergeCells>
  <phoneticPr fontId="7" type="noConversion"/>
  <conditionalFormatting sqref="F4:F10">
    <cfRule type="cellIs" dxfId="3" priority="1" operator="greaterThan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2"/>
  <sheetViews>
    <sheetView tabSelected="1" workbookViewId="0">
      <pane ySplit="2" topLeftCell="A3" activePane="bottomLeft" state="frozen"/>
      <selection pane="bottomLeft" activeCell="F8" sqref="F8"/>
    </sheetView>
  </sheetViews>
  <sheetFormatPr defaultRowHeight="13.5"/>
  <cols>
    <col min="1" max="1" width="14" style="32" customWidth="1"/>
    <col min="2" max="2" width="10" style="32" customWidth="1"/>
    <col min="3" max="3" width="12" style="32" customWidth="1"/>
    <col min="4" max="4" width="40" style="32" customWidth="1"/>
    <col min="5" max="5" width="10" style="32" customWidth="1"/>
    <col min="6" max="6" width="20" style="32" customWidth="1"/>
  </cols>
  <sheetData>
    <row r="1" spans="1:6" ht="30" customHeight="1">
      <c r="A1" s="67" t="s">
        <v>305</v>
      </c>
      <c r="B1" s="54"/>
      <c r="C1" s="54"/>
      <c r="D1" s="54"/>
      <c r="E1" s="54"/>
      <c r="F1" s="54"/>
    </row>
    <row r="2" spans="1:6" ht="24.95" customHeight="1">
      <c r="A2" s="9" t="s">
        <v>210</v>
      </c>
      <c r="B2" s="9" t="s">
        <v>2</v>
      </c>
      <c r="C2" s="9" t="s">
        <v>306</v>
      </c>
      <c r="D2" s="9" t="s">
        <v>307</v>
      </c>
      <c r="E2" s="9" t="s">
        <v>308</v>
      </c>
      <c r="F2" s="9" t="s">
        <v>83</v>
      </c>
    </row>
    <row r="3" spans="1:6" ht="21.95" customHeight="1">
      <c r="A3" s="10" t="s">
        <v>309</v>
      </c>
      <c r="B3" s="10" t="s">
        <v>50</v>
      </c>
      <c r="C3" s="10" t="s">
        <v>310</v>
      </c>
      <c r="D3" s="10" t="s">
        <v>311</v>
      </c>
      <c r="E3" s="19" t="s">
        <v>312</v>
      </c>
      <c r="F3" s="10" t="s">
        <v>313</v>
      </c>
    </row>
    <row r="4" spans="1:6" ht="21.95" customHeight="1">
      <c r="A4" s="10" t="s">
        <v>314</v>
      </c>
      <c r="B4" s="10" t="s">
        <v>45</v>
      </c>
      <c r="C4" s="10" t="s">
        <v>310</v>
      </c>
      <c r="D4" s="10" t="s">
        <v>315</v>
      </c>
      <c r="E4" s="19" t="s">
        <v>312</v>
      </c>
      <c r="F4" s="10" t="s">
        <v>316</v>
      </c>
    </row>
    <row r="5" spans="1:6" ht="21.95" customHeight="1">
      <c r="A5" s="10" t="s">
        <v>314</v>
      </c>
      <c r="B5" s="10" t="s">
        <v>42</v>
      </c>
      <c r="C5" s="10" t="s">
        <v>310</v>
      </c>
      <c r="D5" s="10" t="s">
        <v>310</v>
      </c>
      <c r="E5" s="20" t="s">
        <v>317</v>
      </c>
      <c r="F5" s="10" t="s">
        <v>11</v>
      </c>
    </row>
    <row r="6" spans="1:6" ht="21.95" customHeight="1">
      <c r="A6" s="10" t="s">
        <v>11</v>
      </c>
      <c r="B6" s="10" t="s">
        <v>26</v>
      </c>
      <c r="C6" s="10" t="s">
        <v>318</v>
      </c>
      <c r="D6" s="10" t="s">
        <v>11</v>
      </c>
      <c r="E6" s="21" t="s">
        <v>319</v>
      </c>
      <c r="F6" s="10" t="s">
        <v>11</v>
      </c>
    </row>
    <row r="7" spans="1:6" ht="43.5" customHeight="1">
      <c r="A7" s="10" t="s">
        <v>11</v>
      </c>
      <c r="B7" s="70" t="s">
        <v>29</v>
      </c>
      <c r="C7" s="70" t="s">
        <v>318</v>
      </c>
      <c r="D7" s="70" t="s">
        <v>11</v>
      </c>
      <c r="E7" s="71" t="s">
        <v>319</v>
      </c>
      <c r="F7" s="72" t="s">
        <v>343</v>
      </c>
    </row>
    <row r="8" spans="1:6" ht="21.95" customHeight="1">
      <c r="A8" s="10" t="s">
        <v>11</v>
      </c>
      <c r="B8" s="10" t="s">
        <v>19</v>
      </c>
      <c r="C8" s="10" t="s">
        <v>310</v>
      </c>
      <c r="D8" s="10" t="s">
        <v>320</v>
      </c>
      <c r="E8" s="20" t="s">
        <v>321</v>
      </c>
      <c r="F8" s="10" t="s">
        <v>11</v>
      </c>
    </row>
    <row r="9" spans="1:6" ht="21.95" customHeight="1">
      <c r="A9" s="10" t="s">
        <v>11</v>
      </c>
      <c r="B9" s="10" t="s">
        <v>19</v>
      </c>
      <c r="C9" s="10" t="s">
        <v>310</v>
      </c>
      <c r="D9" s="10" t="s">
        <v>322</v>
      </c>
      <c r="E9" s="20" t="s">
        <v>321</v>
      </c>
      <c r="F9" s="10" t="s">
        <v>11</v>
      </c>
    </row>
    <row r="10" spans="1:6" ht="21.95" customHeight="1">
      <c r="A10" s="10" t="s">
        <v>323</v>
      </c>
      <c r="B10" s="10" t="s">
        <v>19</v>
      </c>
      <c r="C10" s="10" t="s">
        <v>310</v>
      </c>
      <c r="D10" s="10" t="s">
        <v>324</v>
      </c>
      <c r="E10" s="20" t="s">
        <v>321</v>
      </c>
      <c r="F10" s="10" t="s">
        <v>11</v>
      </c>
    </row>
    <row r="11" spans="1:6" ht="21.95" customHeight="1">
      <c r="A11" s="10" t="s">
        <v>11</v>
      </c>
      <c r="B11" s="10" t="s">
        <v>48</v>
      </c>
      <c r="C11" s="10" t="s">
        <v>310</v>
      </c>
      <c r="D11" s="10" t="s">
        <v>325</v>
      </c>
      <c r="E11" s="21" t="s">
        <v>165</v>
      </c>
      <c r="F11" s="10" t="s">
        <v>11</v>
      </c>
    </row>
    <row r="12" spans="1:6" ht="21.95" customHeight="1">
      <c r="A12" s="10" t="s">
        <v>11</v>
      </c>
      <c r="B12" s="10" t="s">
        <v>36</v>
      </c>
      <c r="C12" s="10" t="s">
        <v>310</v>
      </c>
      <c r="D12" s="10" t="s">
        <v>325</v>
      </c>
      <c r="E12" s="21" t="s">
        <v>165</v>
      </c>
      <c r="F12" s="10" t="s">
        <v>11</v>
      </c>
    </row>
  </sheetData>
  <mergeCells count="1">
    <mergeCell ref="A1:F1"/>
  </mergeCells>
  <phoneticPr fontId="7" type="noConversion"/>
  <conditionalFormatting sqref="E3:E12">
    <cfRule type="cellIs" dxfId="2" priority="1" operator="equal">
      <formula>"✅*"</formula>
    </cfRule>
    <cfRule type="cellIs" dxfId="1" priority="2" operator="equal">
      <formula>"❌*"</formula>
    </cfRule>
    <cfRule type="cellIs" dxfId="0" priority="3" operator="equal">
      <formula>"待*"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1-卡片信息</vt:lpstr>
      <vt:lpstr>2-年费追踪</vt:lpstr>
      <vt:lpstr>3-0账单日历</vt:lpstr>
      <vt:lpstr>4-权益变现</vt:lpstr>
      <vt:lpstr>5-活动与券</vt:lpstr>
      <vt:lpstr>6-收支总账</vt:lpstr>
      <vt:lpstr>7-积分余额</vt:lpstr>
      <vt:lpstr>日常记录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han</cp:lastModifiedBy>
  <dcterms:created xsi:type="dcterms:W3CDTF">2026-06-07T04:09:43Z</dcterms:created>
  <dcterms:modified xsi:type="dcterms:W3CDTF">2026-07-04T01:39:56Z</dcterms:modified>
</cp:coreProperties>
</file>