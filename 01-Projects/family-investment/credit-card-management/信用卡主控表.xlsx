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565" tabRatio="600" firstSheet="0" activeTab="1" autoFilterDateGrouping="1"/>
  </bookViews>
  <sheets>
    <sheet xmlns:r="http://schemas.openxmlformats.org/officeDocument/2006/relationships" name="1-卡片信息" sheetId="1" state="visible" r:id="rId1"/>
    <sheet xmlns:r="http://schemas.openxmlformats.org/officeDocument/2006/relationships" name="2-年费追踪" sheetId="2" state="visible" r:id="rId2"/>
    <sheet xmlns:r="http://schemas.openxmlformats.org/officeDocument/2006/relationships" name="3-0账单日历" sheetId="3" state="visible" r:id="rId3"/>
    <sheet xmlns:r="http://schemas.openxmlformats.org/officeDocument/2006/relationships" name="4-权益变现" sheetId="4" state="visible" r:id="rId4"/>
    <sheet xmlns:r="http://schemas.openxmlformats.org/officeDocument/2006/relationships" name="5-活动与券" sheetId="5" state="visible" r:id="rId5"/>
    <sheet xmlns:r="http://schemas.openxmlformats.org/officeDocument/2006/relationships" name="6-收支总账" sheetId="6" state="visible" r:id="rId6"/>
    <sheet xmlns:r="http://schemas.openxmlformats.org/officeDocument/2006/relationships" name="7-积分余额" sheetId="7" state="visible" r:id="rId7"/>
    <sheet xmlns:r="http://schemas.openxmlformats.org/officeDocument/2006/relationships" name="日常记录" sheetId="8" state="visible" r:id="rId8"/>
  </sheets>
  <definedNames>
    <definedName name="_xlnm._FilterDatabase" localSheetId="0" hidden="1">'1-卡片信息'!$A$2:$G$19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6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微软雅黑"/>
      <charset val="134"/>
      <family val="2"/>
      <i val="1"/>
      <color rgb="FF808080"/>
      <sz val="9"/>
    </font>
    <font>
      <name val="微软雅黑"/>
      <charset val="134"/>
      <family val="2"/>
      <b val="1"/>
      <color rgb="FFBF8F00"/>
      <sz val="11"/>
    </font>
    <font>
      <name val="微软雅黑"/>
      <charset val="134"/>
      <family val="2"/>
      <b val="1"/>
      <color rgb="FF00610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宋体"/>
      <family val="2"/>
      <color rgb="FFFF0000"/>
      <sz val="11"/>
      <scheme val="minor"/>
    </font>
    <font>
      <name val="微软雅黑"/>
      <charset val="134"/>
      <family val="2"/>
      <sz val="10"/>
    </font>
    <font>
      <name val="微软雅黑"/>
      <charset val="134"/>
      <family val="2"/>
      <i val="1"/>
      <color rgb="FF808080"/>
      <sz val="9"/>
    </font>
    <font>
      <name val="微软雅黑"/>
      <sz val="10"/>
    </font>
    <font>
      <name val="微软雅黑"/>
      <b val="1"/>
      <sz val="10"/>
    </font>
  </fonts>
  <fills count="1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0" pivotButton="0" quotePrefix="0" xfId="0"/>
    <xf numFmtId="58" fontId="3" fillId="0" borderId="1" applyAlignment="1" pivotButton="0" quotePrefix="0" xfId="0">
      <alignment horizontal="center" vertical="center" wrapText="1"/>
    </xf>
    <xf numFmtId="0" fontId="0" fillId="0" borderId="4" applyAlignment="1" pivotButton="0" quotePrefix="0" xfId="0">
      <alignment wrapText="1"/>
    </xf>
    <xf numFmtId="0" fontId="11" fillId="0" borderId="4" applyAlignment="1" pivotButton="0" quotePrefix="0" xfId="0">
      <alignment wrapText="1"/>
    </xf>
    <xf numFmtId="57" fontId="2" fillId="2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left" vertical="center" wrapText="1"/>
    </xf>
    <xf numFmtId="0" fontId="10" fillId="10" borderId="4" applyAlignment="1" pivotButton="0" quotePrefix="0" xfId="0">
      <alignment horizontal="left" vertical="center" wrapText="1"/>
    </xf>
    <xf numFmtId="0" fontId="10" fillId="9" borderId="4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4" borderId="4" applyAlignment="1" pivotButton="0" quotePrefix="0" xfId="0">
      <alignment horizontal="center" vertical="center" wrapText="1"/>
    </xf>
    <xf numFmtId="0" fontId="13" fillId="0" borderId="0" pivotButton="0" quotePrefix="0" xfId="0"/>
    <xf numFmtId="0" fontId="5" fillId="4" borderId="0" pivotButton="0" quotePrefix="0" xfId="0"/>
    <xf numFmtId="0" fontId="8" fillId="0" borderId="0" pivotButton="0" quotePrefix="0" xfId="0"/>
    <xf numFmtId="0" fontId="3" fillId="11" borderId="5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5" fillId="12" borderId="8" applyAlignment="1" pivotButton="0" quotePrefix="0" xfId="0">
      <alignment horizontal="center" vertical="center" wrapText="1"/>
    </xf>
    <xf numFmtId="0" fontId="0" fillId="12" borderId="8" applyAlignment="1" pivotButton="0" quotePrefix="0" xfId="0">
      <alignment horizontal="center" vertical="center" wrapText="1"/>
    </xf>
    <xf numFmtId="0" fontId="3" fillId="12" borderId="8" applyAlignment="1" pivotButton="0" quotePrefix="0" xfId="0">
      <alignment horizontal="center" vertical="center" wrapText="1"/>
    </xf>
    <xf numFmtId="0" fontId="14" fillId="0" borderId="8" pivotButton="0" quotePrefix="0" xfId="0"/>
    <xf numFmtId="0" fontId="15" fillId="0" borderId="1" applyAlignment="1" pivotButton="0" quotePrefix="0" xfId="0">
      <alignment horizontal="center" vertical="center" wrapText="1"/>
    </xf>
    <xf numFmtId="0" fontId="15" fillId="13" borderId="1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I29" sqref="I29"/>
    </sheetView>
  </sheetViews>
  <sheetFormatPr baseColWidth="8" defaultRowHeight="13.5"/>
  <cols>
    <col width="5" customWidth="1" style="25" min="1" max="1"/>
    <col width="8" customWidth="1" style="25" min="2" max="2"/>
    <col width="12" customWidth="1" style="25" min="3" max="3"/>
    <col width="10" customWidth="1" style="25" min="4" max="6"/>
    <col width="7" customWidth="1" style="25" min="7" max="7"/>
  </cols>
  <sheetData>
    <row r="1" ht="30" customHeight="1" s="25">
      <c r="A1" s="26" t="inlineStr">
        <is>
          <t>信用卡卡片总览 — 韩伟</t>
        </is>
      </c>
    </row>
    <row r="2" ht="24.95" customHeight="1" s="25">
      <c r="A2" s="1" t="inlineStr">
        <is>
          <t>序号</t>
        </is>
      </c>
      <c r="B2" s="1" t="inlineStr">
        <is>
          <t>银行</t>
        </is>
      </c>
      <c r="C2" s="1" t="inlineStr">
        <is>
          <t>卡种</t>
        </is>
      </c>
      <c r="D2" s="1" t="inlineStr">
        <is>
          <t>卡号后4位</t>
        </is>
      </c>
      <c r="E2" s="1" t="inlineStr">
        <is>
          <t>申卡额度</t>
        </is>
      </c>
      <c r="F2" s="1" t="inlineStr">
        <is>
          <t>当前额度</t>
        </is>
      </c>
      <c r="G2" s="1" t="inlineStr">
        <is>
          <t>账单日</t>
        </is>
      </c>
    </row>
    <row r="3" ht="16.5" customHeight="1" s="25">
      <c r="A3" s="8" t="n">
        <v>1</v>
      </c>
      <c r="B3" s="8" t="inlineStr">
        <is>
          <t>兴业</t>
        </is>
      </c>
      <c r="C3" s="8" t="inlineStr">
        <is>
          <t>行悠白</t>
        </is>
      </c>
      <c r="D3" s="8" t="inlineStr">
        <is>
          <t>—</t>
        </is>
      </c>
      <c r="E3" s="2" t="n">
        <v>78000</v>
      </c>
      <c r="F3" s="2" t="n">
        <v>78000</v>
      </c>
      <c r="G3" s="8" t="inlineStr">
        <is>
          <t>5日</t>
        </is>
      </c>
    </row>
    <row r="4" ht="16.5" customHeight="1" s="25">
      <c r="A4" s="8" t="n">
        <v>2</v>
      </c>
      <c r="B4" s="8" t="inlineStr">
        <is>
          <t>平安</t>
        </is>
      </c>
      <c r="C4" s="8" t="inlineStr">
        <is>
          <t>精英白</t>
        </is>
      </c>
      <c r="D4" s="8" t="inlineStr">
        <is>
          <t>—</t>
        </is>
      </c>
      <c r="E4" s="2" t="n">
        <v>30000</v>
      </c>
      <c r="F4" s="2" t="n">
        <v>45000</v>
      </c>
      <c r="G4" s="8" t="inlineStr">
        <is>
          <t>7日</t>
        </is>
      </c>
    </row>
    <row r="5" ht="16.5" customHeight="1" s="25">
      <c r="A5" s="8" t="n">
        <v>3</v>
      </c>
      <c r="B5" s="8" t="inlineStr">
        <is>
          <t>宁波</t>
        </is>
      </c>
      <c r="C5" s="8" t="inlineStr">
        <is>
          <t>菁英卡</t>
        </is>
      </c>
      <c r="D5" s="8" t="inlineStr">
        <is>
          <t>—</t>
        </is>
      </c>
      <c r="E5" s="2" t="n">
        <v>100000</v>
      </c>
      <c r="F5" s="2" t="n">
        <v>100000</v>
      </c>
      <c r="G5" s="8" t="inlineStr">
        <is>
          <t>8日</t>
        </is>
      </c>
    </row>
    <row r="6" ht="16.5" customHeight="1" s="25">
      <c r="A6" s="8" t="n">
        <v>4</v>
      </c>
      <c r="B6" s="8" t="inlineStr">
        <is>
          <t>农行</t>
        </is>
      </c>
      <c r="C6" s="8" t="inlineStr">
        <is>
          <t>精粹白</t>
        </is>
      </c>
      <c r="D6" s="8" t="inlineStr">
        <is>
          <t>—</t>
        </is>
      </c>
      <c r="E6" s="2" t="n">
        <v>80000</v>
      </c>
      <c r="F6" s="2" t="n">
        <v>90000</v>
      </c>
      <c r="G6" s="8" t="inlineStr">
        <is>
          <t>10日</t>
        </is>
      </c>
    </row>
    <row r="7" ht="16.5" customHeight="1" s="25">
      <c r="A7" s="8" t="n">
        <v>5</v>
      </c>
      <c r="B7" s="8" t="inlineStr">
        <is>
          <t>交通</t>
        </is>
      </c>
      <c r="C7" s="8" t="inlineStr">
        <is>
          <t>东航航空卡</t>
        </is>
      </c>
      <c r="D7" s="8" t="inlineStr">
        <is>
          <t>—</t>
        </is>
      </c>
      <c r="E7" s="2" t="n">
        <v>41000</v>
      </c>
      <c r="F7" s="2" t="n">
        <v>59000</v>
      </c>
      <c r="G7" s="8" t="inlineStr">
        <is>
          <t>13日</t>
        </is>
      </c>
    </row>
    <row r="8" ht="16.5" customHeight="1" s="25">
      <c r="A8" s="8" t="n">
        <v>6</v>
      </c>
      <c r="B8" s="8" t="inlineStr">
        <is>
          <t>招商</t>
        </is>
      </c>
      <c r="C8" s="8" t="inlineStr">
        <is>
          <t>飞鸟白</t>
        </is>
      </c>
      <c r="D8" s="8" t="inlineStr">
        <is>
          <t>—</t>
        </is>
      </c>
      <c r="E8" s="2" t="n">
        <v>65000</v>
      </c>
      <c r="F8" s="2" t="n">
        <v>102000</v>
      </c>
      <c r="G8" s="8" t="inlineStr">
        <is>
          <t>15日</t>
        </is>
      </c>
    </row>
    <row r="9" ht="16.5" customHeight="1" s="25">
      <c r="A9" s="8" t="n">
        <v>7</v>
      </c>
      <c r="B9" s="8" t="inlineStr">
        <is>
          <t>中信</t>
        </is>
      </c>
      <c r="C9" s="8" t="inlineStr">
        <is>
          <t>南航航空卡</t>
        </is>
      </c>
      <c r="D9" s="8" t="inlineStr">
        <is>
          <t>—</t>
        </is>
      </c>
      <c r="E9" s="2" t="n">
        <v>80000</v>
      </c>
      <c r="F9" s="2" t="n">
        <v>80000</v>
      </c>
      <c r="G9" s="8" t="inlineStr">
        <is>
          <t>17日</t>
        </is>
      </c>
    </row>
    <row r="10" ht="16.5" customHeight="1" s="25">
      <c r="A10" s="8" t="n">
        <v>8</v>
      </c>
      <c r="B10" s="8" t="inlineStr">
        <is>
          <t>民生</t>
        </is>
      </c>
      <c r="C10" s="8" t="inlineStr">
        <is>
          <t>百夫长</t>
        </is>
      </c>
      <c r="D10" s="8" t="inlineStr">
        <is>
          <t>—</t>
        </is>
      </c>
      <c r="E10" s="2" t="n">
        <v>50000</v>
      </c>
      <c r="F10" s="2" t="n">
        <v>60000</v>
      </c>
      <c r="G10" s="8" t="inlineStr">
        <is>
          <t>19日</t>
        </is>
      </c>
    </row>
    <row r="11" ht="16.5" customHeight="1" s="25">
      <c r="A11" s="8" t="n">
        <v>9</v>
      </c>
      <c r="B11" s="8" t="inlineStr">
        <is>
          <t>邮储</t>
        </is>
      </c>
      <c r="C11" s="8" t="inlineStr">
        <is>
          <t>鼎致白</t>
        </is>
      </c>
      <c r="D11" s="8" t="inlineStr">
        <is>
          <t>—</t>
        </is>
      </c>
      <c r="E11" s="2" t="n">
        <v>50000</v>
      </c>
      <c r="F11" s="2" t="n">
        <v>75000</v>
      </c>
      <c r="G11" s="8" t="inlineStr">
        <is>
          <t>20日</t>
        </is>
      </c>
    </row>
    <row r="12" ht="16.5" customHeight="1" s="25">
      <c r="A12" s="8" t="n">
        <v>10</v>
      </c>
      <c r="B12" s="8" t="inlineStr">
        <is>
          <t>浦发</t>
        </is>
      </c>
      <c r="C12" s="8" t="inlineStr">
        <is>
          <t>南航航空卡</t>
        </is>
      </c>
      <c r="D12" s="8" t="inlineStr">
        <is>
          <t>—</t>
        </is>
      </c>
      <c r="E12" s="2" t="n">
        <v>50000</v>
      </c>
      <c r="F12" s="2" t="n">
        <v>50000</v>
      </c>
      <c r="G12" s="8" t="inlineStr">
        <is>
          <t>22日</t>
        </is>
      </c>
    </row>
    <row r="13" ht="16.5" customHeight="1" s="25">
      <c r="A13" s="8" t="n">
        <v>11</v>
      </c>
      <c r="B13" s="8" t="inlineStr">
        <is>
          <t>中国银行</t>
        </is>
      </c>
      <c r="C13" s="8" t="inlineStr">
        <is>
          <t>—</t>
        </is>
      </c>
      <c r="D13" s="8" t="inlineStr">
        <is>
          <t>—</t>
        </is>
      </c>
      <c r="E13" s="2" t="n">
        <v>20000</v>
      </c>
      <c r="F13" s="2" t="n">
        <v>26000</v>
      </c>
      <c r="G13" s="8" t="inlineStr">
        <is>
          <t>22日</t>
        </is>
      </c>
    </row>
    <row r="14" ht="16.5" customHeight="1" s="25">
      <c r="A14" s="8" t="n">
        <v>12</v>
      </c>
      <c r="B14" s="8" t="inlineStr">
        <is>
          <t>建行</t>
        </is>
      </c>
      <c r="C14" s="8" t="inlineStr">
        <is>
          <t>大山白</t>
        </is>
      </c>
      <c r="D14" s="8" t="inlineStr">
        <is>
          <t>—</t>
        </is>
      </c>
      <c r="E14" s="2" t="n">
        <v>80000</v>
      </c>
      <c r="F14" s="2" t="n">
        <v>95000</v>
      </c>
      <c r="G14" s="8" t="inlineStr">
        <is>
          <t>23日</t>
        </is>
      </c>
    </row>
    <row r="15" ht="16.5" customHeight="1" s="25">
      <c r="A15" s="8" t="n">
        <v>13</v>
      </c>
      <c r="B15" s="8" t="inlineStr">
        <is>
          <t>广发</t>
        </is>
      </c>
      <c r="C15" s="8" t="inlineStr">
        <is>
          <t>尊旅卡</t>
        </is>
      </c>
      <c r="D15" s="8" t="inlineStr">
        <is>
          <t>—</t>
        </is>
      </c>
      <c r="E15" s="2" t="n">
        <v>55000</v>
      </c>
      <c r="F15" s="2" t="n">
        <v>71500</v>
      </c>
      <c r="G15" s="8" t="inlineStr">
        <is>
          <t>25日</t>
        </is>
      </c>
    </row>
    <row r="16" ht="16.5" customHeight="1" s="25">
      <c r="A16" s="8" t="n">
        <v>14</v>
      </c>
      <c r="B16" s="8" t="inlineStr">
        <is>
          <t>光大</t>
        </is>
      </c>
      <c r="C16" s="8" t="inlineStr">
        <is>
          <t>阳光车主</t>
        </is>
      </c>
      <c r="D16" s="8" t="inlineStr">
        <is>
          <t>—</t>
        </is>
      </c>
      <c r="E16" s="2" t="n">
        <v>50000</v>
      </c>
      <c r="F16" s="2" t="n">
        <v>50000</v>
      </c>
      <c r="G16" s="8" t="inlineStr">
        <is>
          <t>25日</t>
        </is>
      </c>
    </row>
    <row r="17" ht="16.5" customHeight="1" s="25">
      <c r="A17" s="8" t="n">
        <v>15</v>
      </c>
      <c r="B17" s="8" t="inlineStr">
        <is>
          <t>工商</t>
        </is>
      </c>
      <c r="C17" s="8" t="inlineStr">
        <is>
          <t>大白</t>
        </is>
      </c>
      <c r="D17" s="8" t="inlineStr">
        <is>
          <t>—</t>
        </is>
      </c>
      <c r="E17" s="2" t="n">
        <v>20000</v>
      </c>
      <c r="F17" s="2" t="n">
        <v>100000</v>
      </c>
      <c r="G17" s="8" t="inlineStr">
        <is>
          <t>26日</t>
        </is>
      </c>
    </row>
    <row r="18" ht="16.5" customHeight="1" s="25">
      <c r="A18" s="8" t="n">
        <v>16</v>
      </c>
      <c r="B18" s="8" t="inlineStr">
        <is>
          <t>北京</t>
        </is>
      </c>
      <c r="C18" s="8" t="inlineStr">
        <is>
          <t>京彩卡</t>
        </is>
      </c>
      <c r="D18" s="8" t="inlineStr">
        <is>
          <t>—</t>
        </is>
      </c>
      <c r="E18" s="2" t="n">
        <v>60000</v>
      </c>
      <c r="F18" s="2" t="n">
        <v>60000</v>
      </c>
      <c r="G18" s="8" t="inlineStr">
        <is>
          <t>27日</t>
        </is>
      </c>
    </row>
    <row r="19" ht="16.5" customHeight="1" s="25">
      <c r="A19" s="35" t="inlineStr">
        <is>
          <t>合计（16张）</t>
        </is>
      </c>
      <c r="B19" s="28" t="n"/>
      <c r="C19" s="28" t="n"/>
      <c r="D19" s="29" t="n"/>
      <c r="E19" s="3" t="n">
        <v>919000</v>
      </c>
      <c r="F19" s="3" t="n">
        <v>1141500</v>
      </c>
      <c r="G19" s="11" t="n"/>
    </row>
    <row r="21" ht="15.75" customHeight="1" s="25">
      <c r="A21" s="24" t="inlineStr">
        <is>
          <t>条件格式：✅=绿色(已达标) | ⚠️=黄色(进行中) | ❌=红色(未完成) | 待补充：卡号后4位、爱人卡片</t>
        </is>
      </c>
    </row>
  </sheetData>
  <autoFilter ref="A2:G19"/>
  <mergeCells count="3">
    <mergeCell ref="A21:G21"/>
    <mergeCell ref="A1:G1"/>
    <mergeCell ref="A19:D19"/>
  </mergeCells>
  <pageMargins left="0.75" right="0.75" top="1" bottom="1" header="0.5" footer="0.5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tabColor rgb="FFED7D31"/>
    <outlinePr summaryBelow="1" summaryRight="1"/>
    <pageSetUpPr/>
  </sheetPr>
  <dimension ref="A1:I32"/>
  <sheetViews>
    <sheetView tabSelected="1" workbookViewId="0">
      <pane ySplit="2" topLeftCell="A3" activePane="bottomLeft" state="frozen"/>
      <selection pane="bottomLeft" activeCell="L18" sqref="L18"/>
    </sheetView>
  </sheetViews>
  <sheetFormatPr baseColWidth="8" defaultRowHeight="13.5"/>
  <cols>
    <col width="10" customWidth="1" style="25" min="1" max="1"/>
    <col width="12" customWidth="1" style="25" min="2" max="2"/>
    <col width="14" customWidth="1" style="25" min="3" max="3"/>
    <col width="12" customWidth="1" style="25" min="4" max="4"/>
    <col width="8" customWidth="1" style="25" min="5" max="5"/>
    <col width="18" customWidth="1" style="25" min="6" max="6"/>
    <col width="13.875" customWidth="1" style="25" min="7" max="7"/>
    <col width="8" customWidth="1" style="25" min="8" max="8"/>
    <col width="25.875" customWidth="1" style="25" min="9" max="9"/>
  </cols>
  <sheetData>
    <row r="1" ht="30" customHeight="1" s="25">
      <c r="A1" s="26" t="inlineStr">
        <is>
          <t>年费追踪 — 按4种类型分组</t>
        </is>
      </c>
    </row>
    <row r="3" ht="15" customHeight="1" s="25">
      <c r="A3" s="36" t="inlineStr">
        <is>
          <t>A. 积分抵扣类</t>
        </is>
      </c>
      <c r="B3" s="28" t="n"/>
      <c r="C3" s="28" t="n"/>
      <c r="D3" s="28" t="n"/>
      <c r="E3" s="28" t="n"/>
      <c r="F3" s="28" t="n"/>
      <c r="G3" s="28" t="n"/>
      <c r="H3" s="29" t="n"/>
      <c r="I3" s="29" t="n"/>
    </row>
    <row r="4" ht="33" customHeight="1" s="25">
      <c r="A4" s="4" t="inlineStr">
        <is>
          <t>银行</t>
        </is>
      </c>
      <c r="B4" s="4" t="inlineStr">
        <is>
          <t>卡种</t>
        </is>
      </c>
      <c r="C4" s="4" t="inlineStr">
        <is>
          <t>所需积分</t>
        </is>
      </c>
      <c r="D4" s="4" t="inlineStr">
        <is>
          <t>当前积分</t>
        </is>
      </c>
      <c r="E4" s="4" t="inlineStr">
        <is>
          <t>缺口</t>
        </is>
      </c>
      <c r="F4" s="4" t="inlineStr">
        <is>
          <t>最佳攒分方式</t>
        </is>
      </c>
      <c r="G4" s="4" t="inlineStr">
        <is>
          <t>兑换截止</t>
        </is>
      </c>
      <c r="H4" s="4" t="inlineStr">
        <is>
          <t>2026状态</t>
        </is>
      </c>
      <c r="I4" s="4" t="inlineStr">
        <is>
          <t>备注</t>
        </is>
      </c>
    </row>
    <row r="5" ht="16.5" customHeight="1" s="25">
      <c r="A5" s="8" t="inlineStr">
        <is>
          <t>建行</t>
        </is>
      </c>
      <c r="B5" s="8" t="inlineStr">
        <is>
          <t>大山白</t>
        </is>
      </c>
      <c r="C5" s="8" t="n">
        <v>400000</v>
      </c>
      <c r="D5" s="8" t="inlineStr">
        <is>
          <t>—</t>
        </is>
      </c>
      <c r="E5" s="8" t="inlineStr">
        <is>
          <t>—</t>
        </is>
      </c>
      <c r="F5" s="8" t="inlineStr">
        <is>
          <t>龙支付3倍\支付宝2倍</t>
        </is>
      </c>
      <c r="G5" s="8" t="inlineStr">
        <is>
          <t>年底</t>
        </is>
      </c>
      <c r="H5" s="18" t="inlineStr">
        <is>
          <t>✅</t>
        </is>
      </c>
      <c r="I5" s="15" t="inlineStr">
        <is>
          <t>银行APP直接搜索年费查询</t>
        </is>
      </c>
    </row>
    <row r="6" ht="16.5" customHeight="1" s="25">
      <c r="A6" s="8" t="inlineStr">
        <is>
          <t>邮储</t>
        </is>
      </c>
      <c r="B6" s="8" t="inlineStr">
        <is>
          <t>鼎致白</t>
        </is>
      </c>
      <c r="C6" s="8" t="n">
        <v>200000</v>
      </c>
      <c r="D6" s="8" t="inlineStr">
        <is>
          <t>—</t>
        </is>
      </c>
      <c r="E6" s="8" t="inlineStr">
        <is>
          <t>—</t>
        </is>
      </c>
      <c r="F6" s="8" t="inlineStr">
        <is>
          <t>生日双倍</t>
        </is>
      </c>
      <c r="G6" s="8" t="inlineStr">
        <is>
          <t>2月</t>
        </is>
      </c>
      <c r="H6" s="18" t="inlineStr">
        <is>
          <t>✅</t>
        </is>
      </c>
      <c r="I6" s="15" t="inlineStr">
        <is>
          <t>银行APP直接搜索年费查询</t>
        </is>
      </c>
    </row>
    <row r="7" ht="16.5" customHeight="1" s="25">
      <c r="A7" s="8" t="inlineStr">
        <is>
          <t>光大</t>
        </is>
      </c>
      <c r="B7" s="8" t="inlineStr">
        <is>
          <t>阳光车主</t>
        </is>
      </c>
      <c r="C7" s="8" t="n">
        <v>100000</v>
      </c>
      <c r="D7" s="8" t="inlineStr">
        <is>
          <t>—</t>
        </is>
      </c>
      <c r="E7" s="8" t="inlineStr">
        <is>
          <t>—</t>
        </is>
      </c>
      <c r="F7" s="8" t="inlineStr">
        <is>
          <t>微信5/10倍活动</t>
        </is>
      </c>
      <c r="G7" s="8" t="inlineStr">
        <is>
          <t>—</t>
        </is>
      </c>
      <c r="H7" s="19" t="inlineStr">
        <is>
          <t>⚠️</t>
        </is>
      </c>
      <c r="I7" s="15" t="inlineStr">
        <is>
          <t>银行APP直接搜索年费查询</t>
        </is>
      </c>
    </row>
    <row r="8" ht="26.25" customHeight="1" s="25">
      <c r="A8" s="8" t="inlineStr">
        <is>
          <t>民生</t>
        </is>
      </c>
      <c r="B8" s="8" t="inlineStr">
        <is>
          <t>百夫长</t>
        </is>
      </c>
      <c r="C8" s="8" t="n">
        <v>200000</v>
      </c>
      <c r="D8" s="8" t="inlineStr">
        <is>
          <t>—</t>
        </is>
      </c>
      <c r="E8" s="8" t="inlineStr">
        <is>
          <t>—</t>
        </is>
      </c>
      <c r="F8" s="8" t="inlineStr">
        <is>
          <t>支付宝</t>
        </is>
      </c>
      <c r="G8" s="8" t="inlineStr">
        <is>
          <t>4月</t>
        </is>
      </c>
      <c r="H8" s="18" t="inlineStr">
        <is>
          <t>✅</t>
        </is>
      </c>
      <c r="I8" s="16" t="inlineStr">
        <is>
          <t>26年是打客服电话问的
积分够自动抵扣</t>
        </is>
      </c>
    </row>
    <row r="9" ht="16.5" customHeight="1" s="25">
      <c r="A9" s="8" t="n"/>
      <c r="B9" s="8" t="n"/>
      <c r="C9" s="8" t="n"/>
      <c r="D9" s="8" t="n"/>
      <c r="E9" s="8" t="n"/>
      <c r="F9" s="8" t="n"/>
      <c r="G9" s="8" t="n"/>
      <c r="H9" s="8" t="n"/>
      <c r="I9" s="15" t="n"/>
    </row>
    <row r="10" ht="16.5" customHeight="1" s="25">
      <c r="A10" s="36" t="inlineStr">
        <is>
          <t>B. 刷卡笔数类</t>
        </is>
      </c>
      <c r="B10" s="28" t="n"/>
      <c r="C10" s="28" t="n"/>
      <c r="D10" s="28" t="n"/>
      <c r="E10" s="28" t="n"/>
      <c r="F10" s="28" t="n"/>
      <c r="G10" s="28" t="n"/>
      <c r="H10" s="29" t="n"/>
      <c r="I10" s="29" t="n"/>
    </row>
    <row r="11" ht="16.5" customHeight="1" s="25">
      <c r="A11" s="4" t="inlineStr">
        <is>
          <t>银行</t>
        </is>
      </c>
      <c r="B11" s="4" t="inlineStr">
        <is>
          <t>卡种</t>
        </is>
      </c>
      <c r="C11" s="4" t="inlineStr">
        <is>
          <t>年度目标</t>
        </is>
      </c>
      <c r="D11" s="4" t="inlineStr">
        <is>
          <t>已完成</t>
        </is>
      </c>
      <c r="E11" s="4" t="inlineStr">
        <is>
          <t>缺口</t>
        </is>
      </c>
      <c r="F11" s="4" t="inlineStr">
        <is>
          <t>截止月</t>
        </is>
      </c>
      <c r="G11" s="4" t="inlineStr">
        <is>
          <t>—</t>
        </is>
      </c>
      <c r="H11" s="4" t="inlineStr">
        <is>
          <t>2026状态</t>
        </is>
      </c>
      <c r="I11" s="4" t="inlineStr">
        <is>
          <t>备注</t>
        </is>
      </c>
    </row>
    <row r="12" ht="31.5" customHeight="1" s="25">
      <c r="A12" s="8" t="inlineStr">
        <is>
          <t>农行</t>
        </is>
      </c>
      <c r="B12" s="8" t="inlineStr">
        <is>
          <t>精粹白</t>
        </is>
      </c>
      <c r="C12" s="8" t="inlineStr">
        <is>
          <t>30笔</t>
        </is>
      </c>
      <c r="D12" s="8" t="inlineStr">
        <is>
          <t>—</t>
        </is>
      </c>
      <c r="E12" s="8" t="n">
        <v>0</v>
      </c>
      <c r="F12" s="14" t="n">
        <v>46106</v>
      </c>
      <c r="G12" s="8" t="inlineStr">
        <is>
          <t>APP购买微信多倍积分</t>
        </is>
      </c>
      <c r="H12" s="18" t="inlineStr">
        <is>
          <t>✅</t>
        </is>
      </c>
      <c r="I12" s="15" t="inlineStr">
        <is>
          <t>银行APP-信用卡-全部功能-年费查询</t>
        </is>
      </c>
    </row>
    <row r="13" ht="16.5" customHeight="1" s="25">
      <c r="A13" s="8" t="inlineStr">
        <is>
          <t>广发</t>
        </is>
      </c>
      <c r="B13" s="8" t="inlineStr">
        <is>
          <t>尊旅卡</t>
        </is>
      </c>
      <c r="C13" s="8" t="inlineStr">
        <is>
          <t>48笔</t>
        </is>
      </c>
      <c r="D13" s="8" t="inlineStr">
        <is>
          <t>—</t>
        </is>
      </c>
      <c r="E13" s="8" t="n">
        <v>0</v>
      </c>
      <c r="F13" s="14" t="n">
        <v>46234</v>
      </c>
      <c r="G13" s="8" t="n"/>
      <c r="H13" s="18" t="inlineStr">
        <is>
          <t>✅</t>
        </is>
      </c>
      <c r="I13" s="15" t="inlineStr">
        <is>
          <t>银行APP直接搜索年费查询</t>
        </is>
      </c>
    </row>
    <row r="14" ht="16.5" customHeight="1" s="25">
      <c r="A14" s="8" t="inlineStr">
        <is>
          <t>中国银行</t>
        </is>
      </c>
      <c r="B14" s="8" t="inlineStr">
        <is>
          <t>—</t>
        </is>
      </c>
      <c r="C14" s="8" t="inlineStr">
        <is>
          <t>12笔+5000元</t>
        </is>
      </c>
      <c r="D14" s="8" t="inlineStr">
        <is>
          <t>—</t>
        </is>
      </c>
      <c r="E14" s="8" t="n">
        <v>0</v>
      </c>
      <c r="F14" s="14" t="n">
        <v>46317</v>
      </c>
      <c r="G14" s="8" t="n"/>
      <c r="H14" s="18" t="inlineStr">
        <is>
          <t>✅</t>
        </is>
      </c>
      <c r="I14" s="15" t="inlineStr">
        <is>
          <t>银行APP直接搜索年费查询</t>
        </is>
      </c>
    </row>
    <row r="15" ht="30.75" customHeight="1" s="25">
      <c r="A15" s="8" t="inlineStr">
        <is>
          <t>北京</t>
        </is>
      </c>
      <c r="B15" s="8" t="inlineStr">
        <is>
          <t>京彩卡</t>
        </is>
      </c>
      <c r="C15" s="8" t="inlineStr">
        <is>
          <t>5笔</t>
        </is>
      </c>
      <c r="D15" s="8" t="n">
        <v>5</v>
      </c>
      <c r="E15" s="8" t="n">
        <v>0</v>
      </c>
      <c r="F15" s="14" t="n">
        <v>46080</v>
      </c>
      <c r="G15" s="8" t="n"/>
      <c r="H15" s="18" t="inlineStr">
        <is>
          <t>✅</t>
        </is>
      </c>
      <c r="I15" s="15" t="inlineStr">
        <is>
          <t>掌上精彩-我的-银行卡-年费</t>
        </is>
      </c>
    </row>
    <row r="16" ht="16.5" customHeight="1" s="25">
      <c r="A16" s="8" t="inlineStr">
        <is>
          <t>工商</t>
        </is>
      </c>
      <c r="B16" s="8" t="inlineStr">
        <is>
          <t>大白</t>
        </is>
      </c>
      <c r="C16" s="8" t="inlineStr">
        <is>
          <t>15笔|10000元</t>
        </is>
      </c>
      <c r="D16" s="8" t="n">
        <v>15</v>
      </c>
      <c r="E16" s="8" t="n">
        <v>0</v>
      </c>
      <c r="F16" s="8" t="inlineStr">
        <is>
          <t>—</t>
        </is>
      </c>
      <c r="G16" s="8" t="n"/>
      <c r="H16" s="18" t="inlineStr">
        <is>
          <t>✅</t>
        </is>
      </c>
      <c r="I16" s="15" t="inlineStr">
        <is>
          <t>工银e生活-搜索年费</t>
        </is>
      </c>
    </row>
    <row r="17" ht="16.5" customHeight="1" s="25">
      <c r="A17" s="8" t="inlineStr">
        <is>
          <t>浦发</t>
        </is>
      </c>
      <c r="B17" s="8" t="inlineStr">
        <is>
          <t>南航卡</t>
        </is>
      </c>
      <c r="C17" s="8" t="inlineStr">
        <is>
          <t>6笔</t>
        </is>
      </c>
      <c r="D17" s="8" t="n">
        <v>6</v>
      </c>
      <c r="E17" s="8" t="n">
        <v>0</v>
      </c>
      <c r="F17" s="14" t="n">
        <v>46044</v>
      </c>
      <c r="G17" s="8" t="n"/>
      <c r="H17" s="18" t="inlineStr">
        <is>
          <t>✅</t>
        </is>
      </c>
      <c r="I17" s="15" t="inlineStr">
        <is>
          <t>浦大喜奔-搜索年费</t>
        </is>
      </c>
    </row>
    <row r="18" ht="16.5" customHeight="1" s="25">
      <c r="A18" s="8" t="n"/>
      <c r="B18" s="8" t="n"/>
      <c r="C18" s="8" t="n"/>
      <c r="D18" s="8" t="n"/>
      <c r="E18" s="8" t="n"/>
      <c r="F18" s="8" t="n"/>
      <c r="G18" s="8" t="n"/>
      <c r="H18" s="8" t="n"/>
      <c r="I18" s="15" t="n"/>
    </row>
    <row r="19" ht="16.5" customHeight="1" s="25">
      <c r="A19" s="36" t="inlineStr">
        <is>
          <t>C. 消费额度类</t>
        </is>
      </c>
      <c r="B19" s="28" t="n"/>
      <c r="C19" s="28" t="n"/>
      <c r="D19" s="28" t="n"/>
      <c r="E19" s="28" t="n"/>
      <c r="F19" s="28" t="n"/>
      <c r="G19" s="28" t="n"/>
      <c r="H19" s="29" t="n"/>
      <c r="I19" s="29" t="n"/>
    </row>
    <row r="20" ht="16.5" customHeight="1" s="25">
      <c r="A20" s="4" t="inlineStr">
        <is>
          <t>银行</t>
        </is>
      </c>
      <c r="B20" s="4" t="inlineStr">
        <is>
          <t>卡种</t>
        </is>
      </c>
      <c r="C20" s="4" t="inlineStr">
        <is>
          <t>年度目标</t>
        </is>
      </c>
      <c r="D20" s="4" t="inlineStr">
        <is>
          <t>当前进度</t>
        </is>
      </c>
      <c r="E20" s="4" t="inlineStr">
        <is>
          <t>缺口</t>
        </is>
      </c>
      <c r="F20" s="4" t="inlineStr">
        <is>
          <t>截止月</t>
        </is>
      </c>
      <c r="G20" s="4" t="inlineStr">
        <is>
          <t>—</t>
        </is>
      </c>
      <c r="H20" s="4" t="inlineStr">
        <is>
          <t>2026状态</t>
        </is>
      </c>
      <c r="I20" s="4" t="inlineStr">
        <is>
          <t>备注</t>
        </is>
      </c>
    </row>
    <row r="21" ht="16.5" customHeight="1" s="25">
      <c r="A21" s="8" t="inlineStr">
        <is>
          <t>招商</t>
        </is>
      </c>
      <c r="B21" s="8" t="inlineStr">
        <is>
          <t>飞鸟白</t>
        </is>
      </c>
      <c r="C21" s="8" t="inlineStr">
        <is>
          <t>8W</t>
        </is>
      </c>
      <c r="D21" s="8" t="inlineStr">
        <is>
          <t>8W</t>
        </is>
      </c>
      <c r="E21" s="8" t="n">
        <v>0</v>
      </c>
      <c r="F21" s="14" t="n">
        <v>46233</v>
      </c>
      <c r="G21" s="8" t="n"/>
      <c r="H21" s="18" t="inlineStr">
        <is>
          <t>✅</t>
        </is>
      </c>
      <c r="I21" s="16" t="inlineStr">
        <is>
          <t>26年是打客服电话问的</t>
        </is>
      </c>
    </row>
    <row r="22" ht="16.5" customHeight="1" s="25">
      <c r="A22" s="8" t="inlineStr">
        <is>
          <t>平安</t>
        </is>
      </c>
      <c r="B22" s="8" t="inlineStr">
        <is>
          <t>精英白</t>
        </is>
      </c>
      <c r="C22" s="8" t="inlineStr">
        <is>
          <t>12W</t>
        </is>
      </c>
      <c r="D22" s="8" t="inlineStr">
        <is>
          <t>12W</t>
        </is>
      </c>
      <c r="E22" s="8" t="n">
        <v>0</v>
      </c>
      <c r="F22" s="8" t="inlineStr">
        <is>
          <t>8月</t>
        </is>
      </c>
      <c r="G22" s="8" t="n"/>
      <c r="H22" s="18" t="inlineStr">
        <is>
          <t>✅</t>
        </is>
      </c>
      <c r="I22" s="15" t="inlineStr">
        <is>
          <t>银行APP直接搜索年费查询</t>
        </is>
      </c>
    </row>
    <row r="23" ht="30.75" customHeight="1" s="25">
      <c r="A23" s="8" t="inlineStr">
        <is>
          <t>宁波</t>
        </is>
      </c>
      <c r="B23" s="8" t="inlineStr">
        <is>
          <t>菁英卡</t>
        </is>
      </c>
      <c r="C23" s="8" t="inlineStr">
        <is>
          <t>18W</t>
        </is>
      </c>
      <c r="D23" s="8" t="inlineStr">
        <is>
          <t>—</t>
        </is>
      </c>
      <c r="E23" s="8" t="inlineStr">
        <is>
          <t>—</t>
        </is>
      </c>
      <c r="F23" s="8" t="inlineStr">
        <is>
          <t>—</t>
        </is>
      </c>
      <c r="G23" s="8" t="n"/>
      <c r="H23" s="19" t="inlineStr">
        <is>
          <t>⚠️</t>
        </is>
      </c>
      <c r="I23" s="16" t="inlineStr">
        <is>
          <t>26年是刚性收取1800，后续可以APP搜索年费查询</t>
        </is>
      </c>
    </row>
    <row r="24" ht="16.5" customHeight="1" s="25">
      <c r="A24" s="8" t="n"/>
      <c r="B24" s="8" t="n"/>
      <c r="C24" s="8" t="n"/>
      <c r="D24" s="8" t="n"/>
      <c r="E24" s="8" t="n"/>
      <c r="F24" s="8" t="n"/>
      <c r="G24" s="8" t="n"/>
      <c r="H24" s="8" t="n"/>
      <c r="I24" s="15" t="n"/>
    </row>
    <row r="25" ht="16.5" customHeight="1" s="25">
      <c r="A25" s="36" t="inlineStr">
        <is>
          <t>D. 刚性年费类</t>
        </is>
      </c>
      <c r="B25" s="28" t="n"/>
      <c r="C25" s="28" t="n"/>
      <c r="D25" s="28" t="n"/>
      <c r="E25" s="28" t="n"/>
      <c r="F25" s="28" t="n"/>
      <c r="G25" s="28" t="n"/>
      <c r="H25" s="29" t="n"/>
      <c r="I25" s="29" t="n"/>
    </row>
    <row r="26" ht="16.5" customHeight="1" s="25">
      <c r="A26" s="4" t="inlineStr">
        <is>
          <t>银行</t>
        </is>
      </c>
      <c r="B26" s="4" t="inlineStr">
        <is>
          <t>卡种</t>
        </is>
      </c>
      <c r="C26" s="4" t="inlineStr">
        <is>
          <t>年费</t>
        </is>
      </c>
      <c r="D26" s="4" t="inlineStr">
        <is>
          <t>收取时间</t>
        </is>
      </c>
      <c r="E26" s="4" t="inlineStr">
        <is>
          <t>权益价值</t>
        </is>
      </c>
      <c r="F26" s="4" t="inlineStr">
        <is>
          <t>是否保留</t>
        </is>
      </c>
      <c r="G26" s="4" t="inlineStr">
        <is>
          <t>—</t>
        </is>
      </c>
      <c r="H26" s="4" t="inlineStr">
        <is>
          <t>2026状态</t>
        </is>
      </c>
      <c r="I26" s="4" t="inlineStr">
        <is>
          <t>备注</t>
        </is>
      </c>
    </row>
    <row r="27" ht="16.5" customHeight="1" s="25">
      <c r="A27" s="8" t="inlineStr">
        <is>
          <t>中信</t>
        </is>
      </c>
      <c r="B27" s="8" t="inlineStr">
        <is>
          <t>南航卡</t>
        </is>
      </c>
      <c r="C27" s="8" t="n">
        <v>480</v>
      </c>
      <c r="D27" s="8" t="inlineStr">
        <is>
          <t>4月24日</t>
        </is>
      </c>
      <c r="E27" s="8" t="inlineStr">
        <is>
          <t>南航里程</t>
        </is>
      </c>
      <c r="F27" s="8" t="inlineStr">
        <is>
          <t>保留</t>
        </is>
      </c>
      <c r="G27" s="8" t="n"/>
      <c r="H27" s="8" t="inlineStr">
        <is>
          <t>—</t>
        </is>
      </c>
      <c r="I27" s="15" t="n"/>
    </row>
    <row r="28" ht="33" customHeight="1" s="25">
      <c r="A28" s="8" t="inlineStr">
        <is>
          <t>交通</t>
        </is>
      </c>
      <c r="B28" s="8" t="inlineStr">
        <is>
          <t>东航卡</t>
        </is>
      </c>
      <c r="C28" s="8" t="n">
        <v>500</v>
      </c>
      <c r="D28" s="8" t="inlineStr">
        <is>
          <t>12月30日</t>
        </is>
      </c>
      <c r="E28" s="8" t="inlineStr">
        <is>
          <t>东航里程+代驾</t>
        </is>
      </c>
      <c r="F28" s="8" t="inlineStr">
        <is>
          <t>保留</t>
        </is>
      </c>
      <c r="G28" s="8" t="n"/>
      <c r="H28" s="8" t="inlineStr">
        <is>
          <t>—</t>
        </is>
      </c>
      <c r="I28" s="15" t="inlineStr">
        <is>
          <t>沃德用户年费减半是500</t>
        </is>
      </c>
    </row>
    <row r="29" ht="33" customHeight="1" s="25">
      <c r="A29" s="8" t="inlineStr">
        <is>
          <t>兴业</t>
        </is>
      </c>
      <c r="B29" s="8" t="inlineStr">
        <is>
          <t>行悠白</t>
        </is>
      </c>
      <c r="C29" s="8" t="n">
        <v>900</v>
      </c>
      <c r="D29" s="8" t="inlineStr">
        <is>
          <t>8月26日</t>
        </is>
      </c>
      <c r="E29" s="8" t="inlineStr">
        <is>
          <t>接送机+贵宾厅</t>
        </is>
      </c>
      <c r="F29" s="19" t="inlineStr">
        <is>
          <t>待评估</t>
        </is>
      </c>
      <c r="G29" s="8" t="inlineStr">
        <is>
          <t>12378投诉 申请减免年费</t>
        </is>
      </c>
      <c r="H29" s="34" t="inlineStr">
        <is>
          <t>⚠️</t>
        </is>
      </c>
      <c r="I29" s="16" t="inlineStr">
        <is>
          <t>计划26年7月申请注销</t>
        </is>
      </c>
    </row>
    <row r="32" ht="15.75" customHeight="1" s="25">
      <c r="A32" s="31" t="inlineStr">
        <is>
          <t>到期提醒说明：橙色=即将到期（1个月内）| 黄色=未到但需关注 | 绿色=已完成/已过</t>
        </is>
      </c>
    </row>
  </sheetData>
  <mergeCells count="6">
    <mergeCell ref="A3:H3"/>
    <mergeCell ref="A25:H25"/>
    <mergeCell ref="A10:H10"/>
    <mergeCell ref="A19:H19"/>
    <mergeCell ref="A1:H1"/>
    <mergeCell ref="A32:H32"/>
  </mergeCells>
  <conditionalFormatting sqref="H4:H9 H11:H13 H15:H16 H18 H20:H24 H26:H28">
    <cfRule type="cellIs" priority="15" operator="equal" dxfId="2">
      <formula>"✅"</formula>
    </cfRule>
    <cfRule type="cellIs" priority="16" operator="equal" dxfId="0">
      <formula>"⚠️"</formula>
    </cfRule>
  </conditionalFormatting>
  <conditionalFormatting sqref="H14">
    <cfRule type="cellIs" priority="3" operator="equal" dxfId="2">
      <formula>"✅"</formula>
    </cfRule>
    <cfRule type="cellIs" priority="4" operator="equal" dxfId="0">
      <formula>"⚠️"</formula>
    </cfRule>
  </conditionalFormatting>
  <conditionalFormatting sqref="H17">
    <cfRule type="cellIs" priority="1" operator="equal" dxfId="2">
      <formula>"✅"</formula>
    </cfRule>
    <cfRule type="cellIs" priority="2" operator="equal" dxfId="0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F25" sqref="F25"/>
    </sheetView>
  </sheetViews>
  <sheetFormatPr baseColWidth="8" defaultRowHeight="13.5"/>
  <cols>
    <col width="8" customWidth="1" style="25" min="1" max="1"/>
    <col width="10" customWidth="1" style="25" min="2" max="2"/>
    <col width="14" customWidth="1" style="25" min="3" max="3"/>
    <col width="10" customWidth="1" style="25" min="4" max="5"/>
    <col width="18" customWidth="1" style="25" min="6" max="6"/>
  </cols>
  <sheetData>
    <row r="1" ht="30" customHeight="1" s="25">
      <c r="A1" s="26" t="inlineStr">
        <is>
          <t>0账单还款日历 — 账单日=还款日，当天还清</t>
        </is>
      </c>
    </row>
    <row r="2" ht="15.75" customHeight="1" s="25">
      <c r="A2" s="24" t="inlineStr">
        <is>
          <t>规则：账单日 = 还款日，当天还清 → 征信报告显示0账单 | 操作：手机日历设提醒 → 当天云闪付还款 → Excel打✅</t>
        </is>
      </c>
    </row>
    <row r="3" ht="15" customHeight="1" s="25">
      <c r="A3" s="1" t="inlineStr">
        <is>
          <t>账单日</t>
        </is>
      </c>
      <c r="B3" s="1" t="inlineStr">
        <is>
          <t>银行</t>
        </is>
      </c>
      <c r="C3" s="1" t="inlineStr">
        <is>
          <t>卡种</t>
        </is>
      </c>
      <c r="D3" s="17" t="inlineStr">
        <is>
          <t>还款金额</t>
        </is>
      </c>
      <c r="E3" s="1" t="inlineStr">
        <is>
          <t>本月已还</t>
        </is>
      </c>
      <c r="F3" s="1" t="inlineStr">
        <is>
          <t>备注</t>
        </is>
      </c>
    </row>
    <row r="4" ht="16.5" customHeight="1" s="25">
      <c r="A4" s="8" t="inlineStr">
        <is>
          <t>5日</t>
        </is>
      </c>
      <c r="B4" s="8" t="inlineStr">
        <is>
          <t>兴业</t>
        </is>
      </c>
      <c r="C4" s="8" t="inlineStr">
        <is>
          <t>行悠白</t>
        </is>
      </c>
      <c r="D4" s="8" t="inlineStr">
        <is>
          <t>—</t>
        </is>
      </c>
      <c r="E4" s="20" t="inlineStr">
        <is>
          <t>✅</t>
        </is>
      </c>
      <c r="F4" s="8" t="inlineStr">
        <is>
          <t>—</t>
        </is>
      </c>
    </row>
    <row r="5" ht="16.5" customHeight="1" s="25">
      <c r="A5" s="8" t="inlineStr">
        <is>
          <t>7日</t>
        </is>
      </c>
      <c r="B5" s="8" t="inlineStr">
        <is>
          <t>平安</t>
        </is>
      </c>
      <c r="C5" s="8" t="inlineStr">
        <is>
          <t>精英白</t>
        </is>
      </c>
      <c r="D5" s="8" t="inlineStr">
        <is>
          <t>—</t>
        </is>
      </c>
      <c r="E5" s="8" t="inlineStr">
        <is>
          <t>⬜</t>
        </is>
      </c>
      <c r="F5" s="8" t="inlineStr">
        <is>
          <t>—</t>
        </is>
      </c>
    </row>
    <row r="6" ht="16.5" customHeight="1" s="25">
      <c r="A6" s="8" t="inlineStr">
        <is>
          <t>8日</t>
        </is>
      </c>
      <c r="B6" s="8" t="inlineStr">
        <is>
          <t>宁波</t>
        </is>
      </c>
      <c r="C6" s="8" t="inlineStr">
        <is>
          <t>菁英卡</t>
        </is>
      </c>
      <c r="D6" s="8" t="inlineStr">
        <is>
          <t>—</t>
        </is>
      </c>
      <c r="E6" s="8" t="inlineStr">
        <is>
          <t>⬜</t>
        </is>
      </c>
      <c r="F6" s="8" t="inlineStr">
        <is>
          <t>—</t>
        </is>
      </c>
    </row>
    <row r="7" ht="16.5" customHeight="1" s="25">
      <c r="A7" s="8" t="inlineStr">
        <is>
          <t>10日</t>
        </is>
      </c>
      <c r="B7" s="8" t="inlineStr">
        <is>
          <t>农行</t>
        </is>
      </c>
      <c r="C7" s="8" t="inlineStr">
        <is>
          <t>精粹白</t>
        </is>
      </c>
      <c r="D7" s="8" t="inlineStr">
        <is>
          <t>—</t>
        </is>
      </c>
      <c r="E7" s="8" t="inlineStr">
        <is>
          <t>⬜</t>
        </is>
      </c>
      <c r="F7" s="8" t="inlineStr">
        <is>
          <t>—</t>
        </is>
      </c>
    </row>
    <row r="8" ht="16.5" customHeight="1" s="25">
      <c r="A8" s="8" t="inlineStr">
        <is>
          <t>13日</t>
        </is>
      </c>
      <c r="B8" s="8" t="inlineStr">
        <is>
          <t>交通</t>
        </is>
      </c>
      <c r="C8" s="8" t="inlineStr">
        <is>
          <t>东航卡</t>
        </is>
      </c>
      <c r="D8" s="8" t="inlineStr">
        <is>
          <t>—</t>
        </is>
      </c>
      <c r="E8" s="8" t="inlineStr">
        <is>
          <t>⬜</t>
        </is>
      </c>
      <c r="F8" s="8" t="inlineStr">
        <is>
          <t>25年无法修改</t>
        </is>
      </c>
    </row>
    <row r="9" ht="16.5" customHeight="1" s="25">
      <c r="A9" s="8" t="inlineStr">
        <is>
          <t>15日</t>
        </is>
      </c>
      <c r="B9" s="8" t="inlineStr">
        <is>
          <t>招商</t>
        </is>
      </c>
      <c r="C9" s="8" t="inlineStr">
        <is>
          <t>飞鸟白</t>
        </is>
      </c>
      <c r="D9" s="8" t="inlineStr">
        <is>
          <t>—</t>
        </is>
      </c>
      <c r="E9" s="8" t="inlineStr">
        <is>
          <t>⬜</t>
        </is>
      </c>
      <c r="F9" s="8" t="inlineStr">
        <is>
          <t>实际16号</t>
        </is>
      </c>
    </row>
    <row r="10" ht="16.5" customHeight="1" s="25">
      <c r="A10" s="8" t="inlineStr">
        <is>
          <t>17日</t>
        </is>
      </c>
      <c r="B10" s="8" t="inlineStr">
        <is>
          <t>中信</t>
        </is>
      </c>
      <c r="C10" s="8" t="inlineStr">
        <is>
          <t>南航卡</t>
        </is>
      </c>
      <c r="D10" s="8" t="inlineStr">
        <is>
          <t>—</t>
        </is>
      </c>
      <c r="E10" s="8" t="inlineStr">
        <is>
          <t>⬜</t>
        </is>
      </c>
      <c r="F10" s="8" t="inlineStr">
        <is>
          <t>—</t>
        </is>
      </c>
    </row>
    <row r="11" ht="16.5" customHeight="1" s="25">
      <c r="A11" s="8" t="inlineStr">
        <is>
          <t>19日</t>
        </is>
      </c>
      <c r="B11" s="8" t="inlineStr">
        <is>
          <t>民生</t>
        </is>
      </c>
      <c r="C11" s="8" t="inlineStr">
        <is>
          <t>百夫长</t>
        </is>
      </c>
      <c r="D11" s="8" t="inlineStr">
        <is>
          <t>—</t>
        </is>
      </c>
      <c r="E11" s="8" t="inlineStr">
        <is>
          <t>⬜</t>
        </is>
      </c>
      <c r="F11" s="8" t="inlineStr">
        <is>
          <t>—</t>
        </is>
      </c>
    </row>
    <row r="12" ht="16.5" customHeight="1" s="25">
      <c r="A12" s="8" t="inlineStr">
        <is>
          <t>20日</t>
        </is>
      </c>
      <c r="B12" s="8" t="inlineStr">
        <is>
          <t>邮储</t>
        </is>
      </c>
      <c r="C12" s="8" t="inlineStr">
        <is>
          <t>鼎致白</t>
        </is>
      </c>
      <c r="D12" s="8" t="inlineStr">
        <is>
          <t>—</t>
        </is>
      </c>
      <c r="E12" s="8" t="inlineStr">
        <is>
          <t>⬜</t>
        </is>
      </c>
      <c r="F12" s="8" t="inlineStr">
        <is>
          <t>—</t>
        </is>
      </c>
    </row>
    <row r="13" ht="16.5" customHeight="1" s="25">
      <c r="A13" s="8" t="inlineStr">
        <is>
          <t>22日</t>
        </is>
      </c>
      <c r="B13" s="8" t="inlineStr">
        <is>
          <t>浦发</t>
        </is>
      </c>
      <c r="C13" s="8" t="inlineStr">
        <is>
          <t>南航卡</t>
        </is>
      </c>
      <c r="D13" s="8" t="inlineStr">
        <is>
          <t>—</t>
        </is>
      </c>
      <c r="E13" s="8" t="inlineStr">
        <is>
          <t>⬜</t>
        </is>
      </c>
      <c r="F13" s="8" t="inlineStr">
        <is>
          <t>—</t>
        </is>
      </c>
    </row>
    <row r="14" ht="16.5" customHeight="1" s="25">
      <c r="A14" s="8" t="inlineStr">
        <is>
          <t>22日</t>
        </is>
      </c>
      <c r="B14" s="8" t="inlineStr">
        <is>
          <t>中国银行</t>
        </is>
      </c>
      <c r="C14" s="8" t="inlineStr">
        <is>
          <t>普通白金卡</t>
        </is>
      </c>
      <c r="D14" s="8" t="inlineStr">
        <is>
          <t>—</t>
        </is>
      </c>
      <c r="E14" s="8" t="inlineStr">
        <is>
          <t>⬜</t>
        </is>
      </c>
      <c r="F14" s="8" t="inlineStr">
        <is>
          <t>—</t>
        </is>
      </c>
    </row>
    <row r="15" ht="16.5" customHeight="1" s="25">
      <c r="A15" s="8" t="inlineStr">
        <is>
          <t>23日</t>
        </is>
      </c>
      <c r="B15" s="8" t="inlineStr">
        <is>
          <t>建行</t>
        </is>
      </c>
      <c r="C15" s="8" t="inlineStr">
        <is>
          <t>大山白</t>
        </is>
      </c>
      <c r="D15" s="8" t="inlineStr">
        <is>
          <t>—</t>
        </is>
      </c>
      <c r="E15" s="8" t="inlineStr">
        <is>
          <t>⬜</t>
        </is>
      </c>
      <c r="F15" s="8" t="inlineStr">
        <is>
          <t>—</t>
        </is>
      </c>
    </row>
    <row r="16" ht="16.5" customHeight="1" s="25">
      <c r="A16" s="8" t="inlineStr">
        <is>
          <t>25日</t>
        </is>
      </c>
      <c r="B16" s="8" t="inlineStr">
        <is>
          <t>广发</t>
        </is>
      </c>
      <c r="C16" s="8" t="inlineStr">
        <is>
          <t>尊旅卡</t>
        </is>
      </c>
      <c r="D16" s="8" t="inlineStr">
        <is>
          <t>—</t>
        </is>
      </c>
      <c r="E16" s="8" t="inlineStr">
        <is>
          <t>⬜</t>
        </is>
      </c>
      <c r="F16" s="8" t="inlineStr">
        <is>
          <t>25年无法修改</t>
        </is>
      </c>
    </row>
    <row r="17" ht="16.5" customHeight="1" s="25">
      <c r="A17" s="8" t="inlineStr">
        <is>
          <t>25日</t>
        </is>
      </c>
      <c r="B17" s="8" t="inlineStr">
        <is>
          <t>光大</t>
        </is>
      </c>
      <c r="C17" s="8" t="inlineStr">
        <is>
          <t>阳光车主</t>
        </is>
      </c>
      <c r="D17" s="8" t="inlineStr">
        <is>
          <t>—</t>
        </is>
      </c>
      <c r="E17" s="8" t="inlineStr">
        <is>
          <t>⬜</t>
        </is>
      </c>
      <c r="F17" s="8" t="inlineStr">
        <is>
          <t>—</t>
        </is>
      </c>
    </row>
    <row r="18" ht="16.5" customHeight="1" s="25">
      <c r="A18" s="8" t="inlineStr">
        <is>
          <t>26日</t>
        </is>
      </c>
      <c r="B18" s="8" t="inlineStr">
        <is>
          <t>工商</t>
        </is>
      </c>
      <c r="C18" s="8" t="inlineStr">
        <is>
          <t>大白</t>
        </is>
      </c>
      <c r="D18" s="8" t="inlineStr">
        <is>
          <t>—</t>
        </is>
      </c>
      <c r="E18" s="8" t="inlineStr">
        <is>
          <t>⬜</t>
        </is>
      </c>
      <c r="F18" s="8" t="inlineStr">
        <is>
          <t>实际27号</t>
        </is>
      </c>
    </row>
    <row r="19" ht="16.5" customHeight="1" s="25">
      <c r="A19" s="8" t="inlineStr">
        <is>
          <t>27日</t>
        </is>
      </c>
      <c r="B19" s="8" t="inlineStr">
        <is>
          <t>北京</t>
        </is>
      </c>
      <c r="C19" s="8" t="inlineStr">
        <is>
          <t>京彩卡</t>
        </is>
      </c>
      <c r="D19" s="8" t="inlineStr">
        <is>
          <t>—</t>
        </is>
      </c>
      <c r="E19" s="8" t="inlineStr">
        <is>
          <t>⬜</t>
        </is>
      </c>
      <c r="F19" s="8" t="inlineStr">
        <is>
          <t>只能选固定日期</t>
        </is>
      </c>
    </row>
    <row r="21" ht="15.75" customHeight="1" s="25">
      <c r="A21" s="24" t="inlineStr">
        <is>
          <t>注意：部分银行账单日当天还款可能T+1入账，需测试各银行。</t>
        </is>
      </c>
    </row>
  </sheetData>
  <mergeCells count="3">
    <mergeCell ref="A2:F2"/>
    <mergeCell ref="A21:F21"/>
    <mergeCell ref="A1:F1"/>
  </mergeCells>
  <conditionalFormatting sqref="D4:D19">
    <cfRule type="cellIs" priority="1" operator="equal" dxfId="2">
      <formula>"✅"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G22" sqref="G22"/>
    </sheetView>
  </sheetViews>
  <sheetFormatPr baseColWidth="8" defaultRowHeight="13.5"/>
  <cols>
    <col width="10" customWidth="1" style="25" min="1" max="1"/>
    <col width="8" customWidth="1" style="25" min="2" max="2"/>
    <col width="14" customWidth="1" style="25" min="3" max="3"/>
    <col width="8" customWidth="1" style="25" min="4" max="4"/>
    <col width="10" customWidth="1" style="25" min="5" max="6"/>
    <col width="14" customWidth="1" style="25" min="7" max="8"/>
  </cols>
  <sheetData>
    <row r="1" ht="30" customHeight="1" s="25">
      <c r="A1" s="26" t="inlineStr">
        <is>
          <t>权益变现 — 库存管理 + 变现流水</t>
        </is>
      </c>
    </row>
    <row r="3" ht="15" customHeight="1" s="25">
      <c r="A3" s="32" t="inlineStr">
        <is>
          <t>4A. 权益库存（可卖权益汇总）</t>
        </is>
      </c>
    </row>
    <row r="4" ht="15" customHeight="1" s="25">
      <c r="A4" s="1" t="inlineStr">
        <is>
          <t>银行</t>
        </is>
      </c>
      <c r="B4" s="1" t="inlineStr">
        <is>
          <t>权益</t>
        </is>
      </c>
      <c r="C4" s="1" t="inlineStr">
        <is>
          <t>年度总量</t>
        </is>
      </c>
      <c r="D4" s="1" t="inlineStr">
        <is>
          <t>已卖出</t>
        </is>
      </c>
      <c r="E4" s="1" t="inlineStr">
        <is>
          <t>剩余</t>
        </is>
      </c>
      <c r="F4" s="1" t="inlineStr">
        <is>
          <t>市场价(元)</t>
        </is>
      </c>
      <c r="G4" s="1" t="inlineStr">
        <is>
          <t>预估收入</t>
        </is>
      </c>
      <c r="H4" s="1" t="inlineStr">
        <is>
          <t>限制</t>
        </is>
      </c>
    </row>
    <row r="5" ht="16.5" customHeight="1" s="25">
      <c r="A5" s="8" t="inlineStr">
        <is>
          <t>建行</t>
        </is>
      </c>
      <c r="B5" s="8" t="inlineStr">
        <is>
          <t>接送机</t>
        </is>
      </c>
      <c r="C5" s="8" t="n">
        <v>3</v>
      </c>
      <c r="D5" s="8" t="n">
        <v>0</v>
      </c>
      <c r="E5" s="8" t="n">
        <v>3</v>
      </c>
      <c r="F5" s="8" t="inlineStr">
        <is>
          <t>80-120</t>
        </is>
      </c>
      <c r="G5" s="8" t="inlineStr">
        <is>
          <t>240-360</t>
        </is>
      </c>
      <c r="H5" s="8" t="inlineStr">
        <is>
          <t>100km, 实名</t>
        </is>
      </c>
    </row>
    <row r="6" ht="33" customHeight="1" s="25">
      <c r="A6" s="8" t="inlineStr">
        <is>
          <t>建行</t>
        </is>
      </c>
      <c r="B6" s="8" t="inlineStr">
        <is>
          <t>龙腾贵宾厅</t>
        </is>
      </c>
      <c r="C6" s="8" t="n">
        <v>5</v>
      </c>
      <c r="D6" s="8" t="n">
        <v>0</v>
      </c>
      <c r="E6" s="8" t="n">
        <v>5</v>
      </c>
      <c r="F6" s="8" t="inlineStr">
        <is>
          <t>50-80</t>
        </is>
      </c>
      <c r="G6" s="8" t="inlineStr">
        <is>
          <t>250-400</t>
        </is>
      </c>
      <c r="H6" s="8" t="inlineStr">
        <is>
          <t>实名</t>
        </is>
      </c>
    </row>
    <row r="7" ht="16.5" customHeight="1" s="25">
      <c r="A7" s="8" t="inlineStr">
        <is>
          <t>邮储</t>
        </is>
      </c>
      <c r="B7" s="8" t="inlineStr">
        <is>
          <t>代驾</t>
        </is>
      </c>
      <c r="C7" s="8" t="n">
        <v>6</v>
      </c>
      <c r="D7" s="8" t="n">
        <v>0</v>
      </c>
      <c r="E7" s="8" t="n">
        <v>6</v>
      </c>
      <c r="F7" s="8" t="inlineStr">
        <is>
          <t>50-108</t>
        </is>
      </c>
      <c r="G7" s="8" t="inlineStr">
        <is>
          <t>300-648</t>
        </is>
      </c>
      <c r="H7" s="8" t="inlineStr">
        <is>
          <t>40km, 无实名</t>
        </is>
      </c>
    </row>
    <row r="8" ht="16.5" customHeight="1" s="25">
      <c r="A8" s="8" t="inlineStr">
        <is>
          <t>邮储</t>
        </is>
      </c>
      <c r="B8" s="8" t="inlineStr">
        <is>
          <t>接送机</t>
        </is>
      </c>
      <c r="C8" s="8" t="n">
        <v>2</v>
      </c>
      <c r="D8" s="8" t="n">
        <v>0</v>
      </c>
      <c r="E8" s="8" t="n">
        <v>2</v>
      </c>
      <c r="F8" s="8" t="inlineStr">
        <is>
          <t>80-120</t>
        </is>
      </c>
      <c r="G8" s="8" t="inlineStr">
        <is>
          <t>160-240</t>
        </is>
      </c>
      <c r="H8" s="8" t="inlineStr">
        <is>
          <t>无实名</t>
        </is>
      </c>
    </row>
    <row r="9" ht="33" customHeight="1" s="25">
      <c r="A9" s="8" t="inlineStr">
        <is>
          <t>邮储</t>
        </is>
      </c>
      <c r="B9" s="8" t="inlineStr">
        <is>
          <t>机场贵宾厅</t>
        </is>
      </c>
      <c r="C9" s="8" t="n">
        <v>4</v>
      </c>
      <c r="D9" s="8" t="n">
        <v>0</v>
      </c>
      <c r="E9" s="8" t="n">
        <v>4</v>
      </c>
      <c r="F9" s="8" t="inlineStr">
        <is>
          <t>50-80</t>
        </is>
      </c>
      <c r="G9" s="8" t="inlineStr">
        <is>
          <t>200-320</t>
        </is>
      </c>
      <c r="H9" s="8" t="inlineStr">
        <is>
          <t>无实名</t>
        </is>
      </c>
    </row>
    <row r="10" ht="33" customHeight="1" s="25">
      <c r="A10" s="37" t="inlineStr">
        <is>
          <t>邮储</t>
        </is>
      </c>
      <c r="B10" s="37" t="inlineStr">
        <is>
          <t>高铁贵宾厅</t>
        </is>
      </c>
      <c r="C10" s="37" t="n">
        <v>6</v>
      </c>
      <c r="D10" s="37" t="n">
        <v>0</v>
      </c>
      <c r="E10" s="37" t="n">
        <v>6</v>
      </c>
      <c r="F10" s="37" t="inlineStr">
        <is>
          <t>50-80</t>
        </is>
      </c>
      <c r="G10" s="37" t="inlineStr">
        <is>
          <t>300-480</t>
        </is>
      </c>
      <c r="H10" s="37" t="inlineStr">
        <is>
          <t>可吃饭,可带人</t>
        </is>
      </c>
    </row>
    <row r="11" ht="16.5" customHeight="1" s="25">
      <c r="A11" s="8" t="inlineStr">
        <is>
          <t>工商</t>
        </is>
      </c>
      <c r="B11" s="8" t="inlineStr">
        <is>
          <t>龙腾休息室</t>
        </is>
      </c>
      <c r="C11" s="8" t="n">
        <v>6</v>
      </c>
      <c r="D11" s="8" t="n">
        <v>0</v>
      </c>
      <c r="E11" s="8" t="n">
        <v>6</v>
      </c>
      <c r="F11" s="8" t="inlineStr">
        <is>
          <t>50-80</t>
        </is>
      </c>
      <c r="G11" s="8" t="inlineStr">
        <is>
          <t>300-480</t>
        </is>
      </c>
      <c r="H11" s="8" t="inlineStr">
        <is>
          <t>实名</t>
        </is>
      </c>
    </row>
    <row r="12" ht="33" customHeight="1" s="25">
      <c r="A12" s="8" t="inlineStr">
        <is>
          <t>工商</t>
        </is>
      </c>
      <c r="B12" s="8" t="inlineStr">
        <is>
          <t>接送机</t>
        </is>
      </c>
      <c r="C12" s="8" t="n">
        <v>1</v>
      </c>
      <c r="D12" s="8" t="n">
        <v>0</v>
      </c>
      <c r="E12" s="8" t="n">
        <v>1</v>
      </c>
      <c r="F12" s="8" t="inlineStr">
        <is>
          <t>80-100</t>
        </is>
      </c>
      <c r="G12" s="8" t="inlineStr">
        <is>
          <t>80-100</t>
        </is>
      </c>
      <c r="H12" s="8" t="inlineStr">
        <is>
          <t>—</t>
        </is>
      </c>
    </row>
    <row r="13" ht="33" customHeight="1" s="25">
      <c r="A13" s="8" t="inlineStr">
        <is>
          <t>兴业</t>
        </is>
      </c>
      <c r="B13" s="8" t="inlineStr">
        <is>
          <t>境内接送机</t>
        </is>
      </c>
      <c r="C13" s="8" t="n">
        <v>4</v>
      </c>
      <c r="D13" s="8" t="n">
        <v>0</v>
      </c>
      <c r="E13" s="8" t="n">
        <v>4</v>
      </c>
      <c r="F13" s="8" t="inlineStr">
        <is>
          <t>80-120</t>
        </is>
      </c>
      <c r="G13" s="8" t="inlineStr">
        <is>
          <t>320-480</t>
        </is>
      </c>
      <c r="H13" s="8" t="inlineStr">
        <is>
          <t>境内</t>
        </is>
      </c>
    </row>
    <row r="14" ht="16.5" customHeight="1" s="25">
      <c r="A14" s="8" t="inlineStr">
        <is>
          <t>兴业</t>
        </is>
      </c>
      <c r="B14" s="8" t="inlineStr">
        <is>
          <t>境外接送机</t>
        </is>
      </c>
      <c r="C14" s="8" t="n">
        <v>2</v>
      </c>
      <c r="D14" s="8" t="n">
        <v>0</v>
      </c>
      <c r="E14" s="8" t="n">
        <v>2</v>
      </c>
      <c r="F14" s="8" t="inlineStr">
        <is>
          <t>200+</t>
        </is>
      </c>
      <c r="G14" s="8" t="inlineStr">
        <is>
          <t>400+</t>
        </is>
      </c>
      <c r="H14" s="8" t="inlineStr">
        <is>
          <t>境外</t>
        </is>
      </c>
    </row>
    <row r="15" ht="16.5" customHeight="1" s="25">
      <c r="A15" s="8" t="inlineStr">
        <is>
          <t>民生</t>
        </is>
      </c>
      <c r="B15" s="8" t="inlineStr">
        <is>
          <t>休息室</t>
        </is>
      </c>
      <c r="C15" s="8" t="inlineStr">
        <is>
          <t>N</t>
        </is>
      </c>
      <c r="D15" s="8" t="n">
        <v>0</v>
      </c>
      <c r="E15" s="8" t="inlineStr">
        <is>
          <t>N</t>
        </is>
      </c>
      <c r="F15" s="8" t="inlineStr">
        <is>
          <t>50/次</t>
        </is>
      </c>
      <c r="G15" s="8" t="inlineStr">
        <is>
          <t>—</t>
        </is>
      </c>
      <c r="H15" s="8" t="inlineStr">
        <is>
          <t>100积点/次</t>
        </is>
      </c>
    </row>
    <row r="16" ht="16.5" customHeight="1" s="25">
      <c r="A16" s="44" t="inlineStr">
        <is>
          <t>宁波</t>
        </is>
      </c>
      <c r="B16" s="28" t="n"/>
      <c r="C16" s="28" t="n"/>
      <c r="D16" s="28" t="n"/>
      <c r="E16" s="29" t="n"/>
      <c r="F16" s="44" t="inlineStr">
        <is>
          <t>50-80</t>
        </is>
      </c>
      <c r="G16" s="29" t="n"/>
      <c r="H16" s="8" t="inlineStr">
        <is>
          <t>实名</t>
        </is>
      </c>
    </row>
    <row r="17">
      <c r="A17" s="38" t="inlineStr">
        <is>
          <t>合计</t>
        </is>
      </c>
      <c r="B17" s="45" t="n"/>
      <c r="C17">
        <f>SUM(C5:C15)</f>
        <v/>
      </c>
      <c r="D17">
        <f>SUM(D5:D15)</f>
        <v/>
      </c>
      <c r="E17">
        <f>SUM(E5:E15)</f>
        <v/>
      </c>
      <c r="F17" s="38" t="inlineStr">
        <is>
          <t>3,150-5,468 元</t>
        </is>
      </c>
      <c r="G17" s="45" t="n"/>
      <c r="H17" s="40" t="n"/>
    </row>
    <row r="18" ht="15" customHeight="1" s="25"/>
    <row r="19" ht="15" customHeight="1" s="25">
      <c r="A19" s="32" t="inlineStr">
        <is>
          <t>4B. 变现流水</t>
        </is>
      </c>
    </row>
    <row r="20" ht="16.5" customHeight="1" s="25">
      <c r="A20" s="1" t="inlineStr">
        <is>
          <t>日期</t>
        </is>
      </c>
      <c r="B20" s="1" t="inlineStr">
        <is>
          <t>银行</t>
        </is>
      </c>
      <c r="C20" s="1" t="inlineStr">
        <is>
          <t>权益</t>
        </is>
      </c>
      <c r="D20" s="1" t="inlineStr">
        <is>
          <t>售价(元)</t>
        </is>
      </c>
      <c r="E20" s="1" t="inlineStr">
        <is>
          <t>买家</t>
        </is>
      </c>
      <c r="F20" s="1" t="inlineStr">
        <is>
          <t>状态</t>
        </is>
      </c>
      <c r="G20" s="1" t="inlineStr">
        <is>
          <t>备注</t>
        </is>
      </c>
      <c r="H20" s="1" t="n"/>
    </row>
    <row r="21" ht="16.5" customHeight="1" s="25">
      <c r="A21" s="8" t="n"/>
      <c r="B21" s="8" t="n"/>
      <c r="C21" s="8" t="n"/>
      <c r="D21" s="8" t="n"/>
      <c r="E21" s="8" t="n"/>
      <c r="F21" s="8" t="n"/>
      <c r="G21" s="8" t="n"/>
      <c r="H21" s="8" t="n"/>
    </row>
    <row r="22" ht="16.5" customHeight="1" s="25">
      <c r="A22" s="8" t="n"/>
      <c r="B22" s="8" t="n"/>
      <c r="C22" s="8" t="n"/>
      <c r="D22" s="8" t="n"/>
      <c r="E22" s="8" t="n"/>
      <c r="F22" s="8" t="n"/>
      <c r="G22" s="8" t="n"/>
      <c r="H22" s="8" t="n"/>
    </row>
    <row r="23" ht="16.5" customHeight="1" s="25">
      <c r="A23" s="8" t="n"/>
      <c r="B23" s="8" t="n"/>
      <c r="C23" s="8" t="n"/>
      <c r="D23" s="8" t="n"/>
      <c r="E23" s="8" t="n"/>
      <c r="F23" s="8" t="n"/>
      <c r="G23" s="8" t="n"/>
      <c r="H23" s="8" t="n"/>
    </row>
    <row r="24" ht="16.5" customHeight="1" s="25">
      <c r="A24" s="8" t="n"/>
      <c r="B24" s="8" t="n"/>
      <c r="C24" s="8" t="n"/>
      <c r="D24" s="8" t="n"/>
      <c r="E24" s="8" t="n"/>
      <c r="F24" s="8" t="n"/>
      <c r="G24" s="8" t="n"/>
      <c r="H24" s="8" t="n"/>
    </row>
    <row r="25" ht="16.5" customHeight="1" s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 ht="16.5" customHeight="1" s="25">
      <c r="A26" s="8" t="n"/>
      <c r="B26" s="8" t="n"/>
      <c r="C26" s="8" t="n"/>
      <c r="D26" s="8" t="n"/>
      <c r="E26" s="8" t="n"/>
      <c r="F26" s="8" t="n"/>
      <c r="G26" s="8" t="n"/>
      <c r="H26" s="8" t="n"/>
    </row>
    <row r="27" ht="16.5" customHeight="1" s="25">
      <c r="A27" s="8" t="n"/>
      <c r="B27" s="8" t="n"/>
      <c r="C27" s="8" t="n"/>
      <c r="D27" s="8" t="n"/>
      <c r="E27" s="8" t="n"/>
      <c r="F27" s="8" t="n"/>
      <c r="G27" s="8" t="n"/>
      <c r="H27" s="8" t="n"/>
    </row>
    <row r="28" ht="16.5" customHeight="1" s="25">
      <c r="A28" s="8" t="n"/>
      <c r="B28" s="8" t="n"/>
      <c r="C28" s="8" t="n"/>
      <c r="D28" s="8" t="n"/>
      <c r="E28" s="8" t="n"/>
      <c r="F28" s="8" t="n"/>
      <c r="G28" s="8" t="n"/>
      <c r="H28" s="8" t="n"/>
    </row>
    <row r="29" ht="16.5" customHeight="1" s="25">
      <c r="A29" s="8" t="n"/>
      <c r="B29" s="8" t="n"/>
      <c r="C29" s="8" t="n"/>
      <c r="D29" s="8" t="n"/>
      <c r="E29" s="8" t="n"/>
      <c r="F29" s="8" t="n"/>
      <c r="G29" s="8" t="n"/>
      <c r="H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</sheetData>
  <mergeCells count="7">
    <mergeCell ref="A18:H18"/>
    <mergeCell ref="A3:H3"/>
    <mergeCell ref="A16:E16"/>
    <mergeCell ref="F16:G16"/>
    <mergeCell ref="A17:B17"/>
    <mergeCell ref="A1:H1"/>
    <mergeCell ref="F17:G17"/>
  </mergeCells>
  <conditionalFormatting sqref="E5:E15">
    <cfRule type="cellIs" priority="1" operator="equal" dxfId="1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A5A5A5"/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K8" sqref="K8"/>
    </sheetView>
  </sheetViews>
  <sheetFormatPr baseColWidth="8" defaultRowHeight="13.5"/>
  <cols>
    <col width="10" customWidth="1" style="25" min="1" max="2"/>
    <col width="14" customWidth="1" style="25" min="3" max="3"/>
    <col width="8" customWidth="1" style="25" min="4" max="4"/>
    <col width="10" customWidth="1" style="25" min="5" max="8"/>
  </cols>
  <sheetData>
    <row r="1" ht="30" customHeight="1" s="25">
      <c r="A1" s="26" t="inlineStr">
        <is>
          <t>活动与券 — 固定活动日历 + 变现流水</t>
        </is>
      </c>
    </row>
    <row r="3" ht="15" customHeight="1" s="25">
      <c r="A3" s="32" t="inlineStr">
        <is>
          <t>5A. 固定活动日历</t>
        </is>
      </c>
    </row>
    <row r="4" ht="15" customHeight="1" s="25">
      <c r="A4" s="1" t="inlineStr">
        <is>
          <t>时间</t>
        </is>
      </c>
      <c r="B4" s="1" t="inlineStr">
        <is>
          <t>银行</t>
        </is>
      </c>
      <c r="C4" s="1" t="inlineStr">
        <is>
          <t>活动</t>
        </is>
      </c>
      <c r="D4" s="1" t="inlineStr">
        <is>
          <t>操作</t>
        </is>
      </c>
      <c r="E4" s="1" t="inlineStr">
        <is>
          <t>提醒</t>
        </is>
      </c>
    </row>
    <row r="5" ht="49.5" customHeight="1" s="25">
      <c r="A5" s="8" t="inlineStr">
        <is>
          <t>每月1号</t>
        </is>
      </c>
      <c r="B5" s="8" t="inlineStr">
        <is>
          <t>光大</t>
        </is>
      </c>
      <c r="C5" s="8" t="inlineStr">
        <is>
          <t>微信多倍积分报名</t>
        </is>
      </c>
      <c r="D5" s="8" t="inlineStr">
        <is>
          <t>微信→光大信用卡→报名</t>
        </is>
      </c>
      <c r="E5" s="8" t="inlineStr">
        <is>
          <t>日历重复</t>
        </is>
      </c>
    </row>
    <row r="6" ht="33" customHeight="1" s="25">
      <c r="A6" s="8" t="inlineStr">
        <is>
          <t>每月6号</t>
        </is>
      </c>
      <c r="B6" s="8" t="inlineStr">
        <is>
          <t>农行</t>
        </is>
      </c>
      <c r="C6" s="8" t="inlineStr">
        <is>
          <t>航空里程兑换</t>
        </is>
      </c>
      <c r="D6" s="8" t="inlineStr">
        <is>
          <t>App→里程兑换</t>
        </is>
      </c>
      <c r="E6" s="8" t="inlineStr">
        <is>
          <t>日历重复</t>
        </is>
      </c>
    </row>
    <row r="7" ht="33" customHeight="1" s="25">
      <c r="A7" s="8" t="inlineStr">
        <is>
          <t>每周三</t>
        </is>
      </c>
      <c r="B7" s="8" t="inlineStr">
        <is>
          <t>招商</t>
        </is>
      </c>
      <c r="C7" s="8" t="inlineStr">
        <is>
          <t>周三5折抢券</t>
        </is>
      </c>
      <c r="D7" s="8" t="inlineStr">
        <is>
          <t>App→精选</t>
        </is>
      </c>
      <c r="E7" s="8" t="inlineStr">
        <is>
          <t>日历重复</t>
        </is>
      </c>
    </row>
    <row r="8" ht="33" customHeight="1" s="25">
      <c r="A8" s="8" t="inlineStr">
        <is>
          <t>生日月</t>
        </is>
      </c>
      <c r="B8" s="8" t="inlineStr">
        <is>
          <t>邮储/光大/广发</t>
        </is>
      </c>
      <c r="C8" s="8" t="inlineStr">
        <is>
          <t>生日多倍积分</t>
        </is>
      </c>
      <c r="D8" s="8" t="inlineStr">
        <is>
          <t>自动</t>
        </is>
      </c>
      <c r="E8" s="8" t="inlineStr">
        <is>
          <t>日历提醒</t>
        </is>
      </c>
    </row>
    <row r="11" ht="15" customHeight="1" s="25">
      <c r="A11" s="32" t="inlineStr">
        <is>
          <t>5B. 活动与券变现流水</t>
        </is>
      </c>
    </row>
    <row r="12" ht="15" customHeight="1" s="25">
      <c r="A12" s="1" t="inlineStr">
        <is>
          <t>日期</t>
        </is>
      </c>
      <c r="B12" s="1" t="inlineStr">
        <is>
          <t>银行</t>
        </is>
      </c>
      <c r="C12" s="1" t="inlineStr">
        <is>
          <t>活动/券名</t>
        </is>
      </c>
      <c r="D12" s="1" t="inlineStr">
        <is>
          <t>类型</t>
        </is>
      </c>
      <c r="E12" s="1" t="inlineStr">
        <is>
          <t>成本(元)</t>
        </is>
      </c>
      <c r="F12" s="1" t="inlineStr">
        <is>
          <t>获得</t>
        </is>
      </c>
      <c r="G12" s="1" t="inlineStr">
        <is>
          <t>卖出价(元)</t>
        </is>
      </c>
      <c r="H12" s="1" t="inlineStr">
        <is>
          <t>利润(元)</t>
        </is>
      </c>
    </row>
    <row r="13" ht="16.5" customHeight="1" s="25">
      <c r="A13" s="8" t="n"/>
      <c r="B13" s="8" t="n"/>
      <c r="C13" s="8" t="n"/>
      <c r="D13" s="8" t="n"/>
      <c r="E13" s="8" t="n"/>
      <c r="F13" s="8" t="n"/>
      <c r="G13" s="8" t="n"/>
      <c r="H13" s="8" t="n"/>
    </row>
    <row r="14" ht="16.5" customHeight="1" s="25">
      <c r="A14" s="8" t="n"/>
      <c r="B14" s="8" t="n"/>
      <c r="C14" s="8" t="n"/>
      <c r="D14" s="8" t="n"/>
      <c r="E14" s="8" t="n"/>
      <c r="F14" s="8" t="n"/>
      <c r="G14" s="8" t="n"/>
      <c r="H14" s="8" t="n"/>
    </row>
    <row r="15" ht="16.5" customHeight="1" s="25">
      <c r="A15" s="8" t="n"/>
      <c r="B15" s="8" t="n"/>
      <c r="C15" s="8" t="n"/>
      <c r="D15" s="8" t="n"/>
      <c r="E15" s="8" t="n"/>
      <c r="F15" s="8" t="n"/>
      <c r="G15" s="8" t="n"/>
      <c r="H15" s="8" t="n"/>
    </row>
    <row r="16" ht="16.5" customHeight="1" s="25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16.5" customHeight="1" s="25">
      <c r="A17" s="8" t="n"/>
      <c r="B17" s="8" t="n"/>
      <c r="C17" s="8" t="n"/>
      <c r="D17" s="8" t="n"/>
      <c r="E17" s="8" t="n"/>
      <c r="F17" s="8" t="n"/>
      <c r="G17" s="8" t="n"/>
      <c r="H17" s="8" t="n"/>
    </row>
    <row r="18" ht="16.5" customHeight="1" s="25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16.5" customHeight="1" s="25">
      <c r="A19" s="8" t="n"/>
      <c r="B19" s="8" t="n"/>
      <c r="C19" s="8" t="n"/>
      <c r="D19" s="8" t="n"/>
      <c r="E19" s="8" t="n"/>
      <c r="F19" s="8" t="n"/>
      <c r="G19" s="8" t="n"/>
      <c r="H19" s="8" t="n"/>
    </row>
    <row r="20" ht="16.5" customHeight="1" s="25">
      <c r="A20" s="8" t="n"/>
      <c r="B20" s="8" t="n"/>
      <c r="C20" s="8" t="n"/>
      <c r="D20" s="8" t="n"/>
      <c r="E20" s="8" t="n"/>
      <c r="F20" s="8" t="n"/>
      <c r="G20" s="8" t="n"/>
      <c r="H20" s="8" t="n"/>
    </row>
    <row r="21" ht="16.5" customHeight="1" s="25">
      <c r="A21" s="8" t="n"/>
      <c r="B21" s="8" t="n"/>
      <c r="C21" s="8" t="n"/>
      <c r="D21" s="8" t="n"/>
      <c r="E21" s="8" t="n"/>
      <c r="F21" s="8" t="n"/>
      <c r="G21" s="8" t="n"/>
      <c r="H21" s="8" t="n"/>
    </row>
    <row r="22" ht="16.5" customHeight="1" s="25">
      <c r="A22" s="8" t="n"/>
      <c r="B22" s="8" t="n"/>
      <c r="C22" s="8" t="n"/>
      <c r="D22" s="8" t="n"/>
      <c r="E22" s="8" t="n"/>
      <c r="F22" s="8" t="n"/>
      <c r="G22" s="8" t="n"/>
      <c r="H22" s="8" t="n"/>
    </row>
  </sheetData>
  <mergeCells count="3">
    <mergeCell ref="A3:E3"/>
    <mergeCell ref="A11:H11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I14" sqref="I14"/>
    </sheetView>
  </sheetViews>
  <sheetFormatPr baseColWidth="8" defaultRowHeight="13.5"/>
  <cols>
    <col width="14" customWidth="1" style="25" min="1" max="1"/>
    <col width="18" customWidth="1" style="25" min="2" max="2"/>
    <col width="14" customWidth="1" style="25" min="3" max="3"/>
    <col width="12" customWidth="1" style="25" min="4" max="4"/>
    <col width="14" customWidth="1" style="25" min="5" max="5"/>
    <col width="18" customWidth="1" style="25" min="6" max="6"/>
  </cols>
  <sheetData>
    <row r="1" ht="30" customHeight="1" s="25">
      <c r="A1" s="26" t="inlineStr">
        <is>
          <t>收支总账 — 年度盈亏（年费支出 vs 变现收入）</t>
        </is>
      </c>
    </row>
    <row r="3" ht="15" customHeight="1" s="25">
      <c r="A3" s="32" t="inlineStr">
        <is>
          <t>6A. 支出（年费）</t>
        </is>
      </c>
    </row>
    <row r="4" ht="15" customHeight="1" s="25">
      <c r="A4" s="5" t="inlineStr">
        <is>
          <t>银行</t>
        </is>
      </c>
      <c r="B4" s="5" t="inlineStr">
        <is>
          <t>卡种</t>
        </is>
      </c>
      <c r="C4" s="5" t="inlineStr">
        <is>
          <t>年费(元)</t>
        </is>
      </c>
      <c r="D4" s="5" t="inlineStr">
        <is>
          <t>类型</t>
        </is>
      </c>
      <c r="E4" s="5" t="inlineStr">
        <is>
          <t>26年实付</t>
        </is>
      </c>
      <c r="F4" s="5" t="inlineStr">
        <is>
          <t>备注</t>
        </is>
      </c>
    </row>
    <row r="5" ht="16.5" customHeight="1" s="25">
      <c r="A5" s="8" t="inlineStr">
        <is>
          <t>中信</t>
        </is>
      </c>
      <c r="B5" s="8" t="inlineStr">
        <is>
          <t>南航卡</t>
        </is>
      </c>
      <c r="C5" s="8" t="n">
        <v>480</v>
      </c>
      <c r="D5" s="8" t="inlineStr">
        <is>
          <t>刚性</t>
        </is>
      </c>
      <c r="E5" s="8" t="n">
        <v>480</v>
      </c>
      <c r="F5" s="8" t="inlineStr">
        <is>
          <t>4月24日</t>
        </is>
      </c>
    </row>
    <row r="6" ht="16.5" customHeight="1" s="25">
      <c r="A6" s="8" t="inlineStr">
        <is>
          <t>交通</t>
        </is>
      </c>
      <c r="B6" s="8" t="inlineStr">
        <is>
          <t>东航卡</t>
        </is>
      </c>
      <c r="C6" s="8" t="n">
        <v>500</v>
      </c>
      <c r="D6" s="8" t="inlineStr">
        <is>
          <t>刚性</t>
        </is>
      </c>
      <c r="E6" s="8" t="n">
        <v>500</v>
      </c>
      <c r="F6" s="8" t="inlineStr">
        <is>
          <t>12月30日</t>
        </is>
      </c>
    </row>
    <row r="7" ht="16.5" customHeight="1" s="25">
      <c r="A7" s="8" t="inlineStr">
        <is>
          <t>兴业</t>
        </is>
      </c>
      <c r="B7" s="8" t="inlineStr">
        <is>
          <t>行悠白</t>
        </is>
      </c>
      <c r="C7" s="8" t="n">
        <v>900</v>
      </c>
      <c r="D7" s="8" t="inlineStr">
        <is>
          <t>刚性</t>
        </is>
      </c>
      <c r="E7" s="8" t="n">
        <v>900</v>
      </c>
      <c r="F7" s="8" t="inlineStr">
        <is>
          <t>8月26日</t>
        </is>
      </c>
    </row>
    <row r="8" ht="16.5" customHeight="1" s="25">
      <c r="A8" s="37" t="inlineStr">
        <is>
          <t>光大</t>
        </is>
      </c>
      <c r="B8" s="45" t="n"/>
      <c r="C8" s="37" t="n">
        <v>500</v>
      </c>
      <c r="D8" s="37" t="inlineStr">
        <is>
          <t>积分抵扣</t>
        </is>
      </c>
      <c r="E8" s="37" t="inlineStr">
        <is>
          <t>—</t>
        </is>
      </c>
      <c r="F8" s="37" t="inlineStr">
        <is>
          <t>10W积分</t>
        </is>
      </c>
    </row>
    <row r="9">
      <c r="A9" s="37" t="inlineStr">
        <is>
          <t>宁波</t>
        </is>
      </c>
      <c r="B9" s="37" t="inlineStr">
        <is>
          <t>菁英卡</t>
        </is>
      </c>
      <c r="C9" s="37" t="n">
        <v>1800</v>
      </c>
      <c r="D9" s="37" t="inlineStr">
        <is>
          <t>消费额度</t>
        </is>
      </c>
      <c r="E9" s="37" t="inlineStr">
        <is>
          <t>—</t>
        </is>
      </c>
      <c r="F9" s="37" t="inlineStr">
        <is>
          <t>18W</t>
        </is>
      </c>
    </row>
    <row r="10" ht="15" customHeight="1" s="25">
      <c r="A10" s="41" t="inlineStr"/>
      <c r="B10" s="46" t="n"/>
      <c r="C10" s="46" t="n"/>
      <c r="D10" s="46" t="n"/>
      <c r="E10" s="46" t="n"/>
      <c r="F10" s="45" t="n"/>
    </row>
    <row r="11" ht="15" customHeight="1" s="25">
      <c r="A11" s="38" t="inlineStr">
        <is>
          <t>合计</t>
        </is>
      </c>
      <c r="B11" s="45" t="n"/>
      <c r="C11" s="38">
        <f>SUM(C5:C9)</f>
        <v/>
      </c>
      <c r="D11" s="40" t="n"/>
      <c r="E11" s="38">
        <f>SUM(E5:E9)</f>
        <v/>
      </c>
      <c r="F11" s="40" t="n"/>
    </row>
    <row r="12" ht="16.5" customHeight="1" s="25"/>
    <row r="13" ht="16.5" customHeight="1" s="25">
      <c r="A13" s="32" t="inlineStr">
        <is>
          <t>6B. 收入（权益变现 + 券变现）</t>
        </is>
      </c>
    </row>
    <row r="14" ht="16.5" customHeight="1" s="25">
      <c r="A14" s="6" t="inlineStr">
        <is>
          <t>来源</t>
        </is>
      </c>
      <c r="B14" s="6" t="inlineStr">
        <is>
          <t>预估年收入</t>
        </is>
      </c>
      <c r="C14" s="6" t="inlineStr">
        <is>
          <t>26年已实现</t>
        </is>
      </c>
      <c r="D14" s="6" t="inlineStr">
        <is>
          <t>—</t>
        </is>
      </c>
      <c r="E14" s="6" t="inlineStr">
        <is>
          <t>—</t>
        </is>
      </c>
      <c r="F14" s="6" t="inlineStr">
        <is>
          <t>—</t>
        </is>
      </c>
    </row>
    <row r="15" ht="16.5" customHeight="1" s="25">
      <c r="A15" s="8" t="inlineStr">
        <is>
          <t>权益变现</t>
        </is>
      </c>
      <c r="B15" s="8" t="inlineStr">
        <is>
          <t>2,850-4,988</t>
        </is>
      </c>
      <c r="C15" s="8" t="n">
        <v>0</v>
      </c>
    </row>
    <row r="16">
      <c r="A16" s="8" t="inlineStr">
        <is>
          <t>券变现</t>
        </is>
      </c>
      <c r="B16" s="8" t="inlineStr">
        <is>
          <t>—</t>
        </is>
      </c>
      <c r="C16" s="8" t="n">
        <v>0</v>
      </c>
    </row>
    <row r="17" ht="15" customHeight="1" s="25">
      <c r="A17" s="44" t="inlineStr">
        <is>
          <t>活动返现</t>
        </is>
      </c>
      <c r="B17" s="28" t="n"/>
      <c r="C17" s="28" t="n"/>
      <c r="D17" s="28" t="n"/>
      <c r="E17" s="28" t="n"/>
      <c r="F17" s="29" t="n"/>
    </row>
    <row r="18" ht="15" customHeight="1" s="25">
      <c r="A18" s="11" t="inlineStr">
        <is>
          <t>合计</t>
        </is>
      </c>
      <c r="B18" s="11" t="inlineStr">
        <is>
          <t>2,850-4,988</t>
        </is>
      </c>
      <c r="C18" s="11" t="n">
        <v>0</v>
      </c>
      <c r="D18" s="7" t="n"/>
      <c r="E18" s="7" t="n"/>
      <c r="F18" s="7" t="n"/>
    </row>
    <row r="19" ht="16.5" customHeight="1" s="25"/>
    <row r="20" ht="16.5" customHeight="1" s="25">
      <c r="A20" s="32" t="inlineStr">
        <is>
          <t>6C. 盈亏汇总</t>
        </is>
      </c>
    </row>
    <row r="21" ht="16.5" customHeight="1" s="25">
      <c r="A21" s="1" t="inlineStr">
        <is>
          <t>项目</t>
        </is>
      </c>
      <c r="B21" s="1" t="inlineStr">
        <is>
          <t>金额</t>
        </is>
      </c>
      <c r="C21" s="1" t="inlineStr">
        <is>
          <t>—</t>
        </is>
      </c>
      <c r="D21" s="1" t="inlineStr">
        <is>
          <t>—</t>
        </is>
      </c>
      <c r="E21" s="1" t="inlineStr">
        <is>
          <t>—</t>
        </is>
      </c>
      <c r="F21" s="1" t="inlineStr">
        <is>
          <t>—</t>
        </is>
      </c>
    </row>
    <row r="22">
      <c r="A22" s="42" t="inlineStr">
        <is>
          <t>预估净盈亏</t>
        </is>
      </c>
      <c r="B22" s="43" t="inlineStr">
        <is>
          <t>+1,270 ~ +3,588 元</t>
        </is>
      </c>
    </row>
    <row r="23" ht="15.75" customHeight="1" s="25">
      <c r="A23" s="44" t="inlineStr">
        <is>
          <t>预估收入</t>
        </is>
      </c>
      <c r="B23" s="28" t="n"/>
      <c r="C23" s="28" t="n"/>
      <c r="D23" s="28" t="n"/>
      <c r="E23" s="28" t="n"/>
      <c r="F23" s="29" t="n"/>
    </row>
    <row r="24">
      <c r="A24" s="8" t="inlineStr">
        <is>
          <t>预估净盈亏</t>
        </is>
      </c>
      <c r="B24" s="8" t="inlineStr">
        <is>
          <t>-1,330 ~ +808 元</t>
        </is>
      </c>
    </row>
    <row r="26">
      <c r="A26" s="24" t="inlineStr">
        <is>
          <t>目标：收入覆盖刚性年费（中信480+交通500+兴业900=1,880），剩余积分/消费类年费靠刷卡自然达标。</t>
        </is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ageMargins left="0.75" right="0.75" top="1" bottom="1" header="0.5" footer="0.5"/>
  <pageSetup orientation="portrait" paperSize="9" horizontalDpi="1200" verticalDpi="1200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H22" sqref="H22"/>
    </sheetView>
  </sheetViews>
  <sheetFormatPr baseColWidth="8" defaultRowHeight="13.5"/>
  <cols>
    <col width="10" customWidth="1" style="25" min="1" max="1"/>
    <col width="12" customWidth="1" style="25" min="2" max="2"/>
    <col width="10" customWidth="1" style="25" min="3" max="5"/>
    <col width="8" customWidth="1" style="25" min="6" max="6"/>
    <col width="10" customWidth="1" style="25" min="7" max="8"/>
  </cols>
  <sheetData>
    <row r="1" ht="30" customHeight="1" s="25">
      <c r="A1" s="26" t="inlineStr">
        <is>
          <t>积分余额 — 各卡积分追踪</t>
        </is>
      </c>
    </row>
    <row r="2" ht="15.75" customHeight="1" s="25">
      <c r="A2" s="24" t="inlineStr">
        <is>
          <t>待补充：当前积分余额数据，后续提供具体值 → 填入「当前余额」列</t>
        </is>
      </c>
    </row>
    <row r="3" ht="15" customHeight="1" s="25">
      <c r="A3" s="1" t="inlineStr">
        <is>
          <t>银行</t>
        </is>
      </c>
      <c r="B3" s="1" t="inlineStr">
        <is>
          <t>卡种</t>
        </is>
      </c>
      <c r="C3" s="1" t="inlineStr">
        <is>
          <t>积分类型</t>
        </is>
      </c>
      <c r="D3" s="1" t="inlineStr">
        <is>
          <t>当前余额</t>
        </is>
      </c>
      <c r="E3" s="1" t="inlineStr">
        <is>
          <t>兑换所需</t>
        </is>
      </c>
      <c r="F3" s="1" t="inlineStr">
        <is>
          <t>缺口</t>
        </is>
      </c>
      <c r="G3" s="1" t="inlineStr">
        <is>
          <t>用途</t>
        </is>
      </c>
      <c r="H3" s="1" t="inlineStr">
        <is>
          <t>更新日期</t>
        </is>
      </c>
    </row>
    <row r="4" ht="16.5" customHeight="1" s="25">
      <c r="A4" s="8" t="inlineStr">
        <is>
          <t>建行</t>
        </is>
      </c>
      <c r="B4" s="8" t="inlineStr">
        <is>
          <t>大山白</t>
        </is>
      </c>
      <c r="C4" s="8" t="inlineStr">
        <is>
          <t>综合积分</t>
        </is>
      </c>
      <c r="D4" s="8" t="inlineStr">
        <is>
          <t>—</t>
        </is>
      </c>
      <c r="E4" s="8" t="n">
        <v>400000</v>
      </c>
      <c r="F4" s="8" t="inlineStr">
        <is>
          <t>—</t>
        </is>
      </c>
      <c r="G4" s="8" t="inlineStr">
        <is>
          <t>年费</t>
        </is>
      </c>
      <c r="H4" s="8" t="inlineStr">
        <is>
          <t>—</t>
        </is>
      </c>
    </row>
    <row r="5" ht="16.5" customHeight="1" s="25">
      <c r="A5" s="8" t="inlineStr">
        <is>
          <t>邮储</t>
        </is>
      </c>
      <c r="B5" s="8" t="inlineStr">
        <is>
          <t>鼎致白</t>
        </is>
      </c>
      <c r="C5" s="8" t="inlineStr">
        <is>
          <t>综合积分</t>
        </is>
      </c>
      <c r="D5" s="8" t="inlineStr">
        <is>
          <t>—</t>
        </is>
      </c>
      <c r="E5" s="8" t="n">
        <v>200000</v>
      </c>
      <c r="F5" s="8" t="inlineStr">
        <is>
          <t>—</t>
        </is>
      </c>
      <c r="G5" s="8" t="inlineStr">
        <is>
          <t>年费</t>
        </is>
      </c>
      <c r="H5" s="8" t="inlineStr">
        <is>
          <t>—</t>
        </is>
      </c>
    </row>
    <row r="6" ht="16.5" customHeight="1" s="25">
      <c r="A6" s="8" t="inlineStr">
        <is>
          <t>光大</t>
        </is>
      </c>
      <c r="B6" s="8" t="inlineStr">
        <is>
          <t>阳光车主</t>
        </is>
      </c>
      <c r="C6" s="8" t="inlineStr">
        <is>
          <t>综合积分</t>
        </is>
      </c>
      <c r="D6" s="8" t="inlineStr">
        <is>
          <t>—</t>
        </is>
      </c>
      <c r="E6" s="8" t="n">
        <v>100000</v>
      </c>
      <c r="F6" s="8" t="inlineStr">
        <is>
          <t>—</t>
        </is>
      </c>
      <c r="G6" s="8" t="inlineStr">
        <is>
          <t>年费</t>
        </is>
      </c>
      <c r="H6" s="8" t="inlineStr">
        <is>
          <t>—</t>
        </is>
      </c>
    </row>
    <row r="7" ht="16.5" customHeight="1" s="25">
      <c r="A7" s="8" t="inlineStr">
        <is>
          <t>民生</t>
        </is>
      </c>
      <c r="B7" s="8" t="inlineStr">
        <is>
          <t>百夫长</t>
        </is>
      </c>
      <c r="C7" s="8" t="inlineStr">
        <is>
          <t>综合积分</t>
        </is>
      </c>
      <c r="D7" s="8" t="inlineStr">
        <is>
          <t>—</t>
        </is>
      </c>
      <c r="E7" s="8" t="n">
        <v>200000</v>
      </c>
      <c r="F7" s="8" t="inlineStr">
        <is>
          <t>—</t>
        </is>
      </c>
      <c r="G7" s="8" t="inlineStr">
        <is>
          <t>年费</t>
        </is>
      </c>
      <c r="H7" s="8" t="inlineStr">
        <is>
          <t>—</t>
        </is>
      </c>
    </row>
    <row r="8" ht="16.5" customHeight="1" s="25">
      <c r="A8" s="8" t="inlineStr">
        <is>
          <t>农行</t>
        </is>
      </c>
      <c r="B8" s="8" t="inlineStr">
        <is>
          <t>精粹白</t>
        </is>
      </c>
      <c r="C8" s="8" t="inlineStr">
        <is>
          <t>综合积分</t>
        </is>
      </c>
      <c r="D8" s="8" t="inlineStr">
        <is>
          <t>—</t>
        </is>
      </c>
      <c r="E8" s="8" t="inlineStr">
        <is>
          <t>—</t>
        </is>
      </c>
      <c r="F8" s="8" t="inlineStr">
        <is>
          <t>—</t>
        </is>
      </c>
      <c r="G8" s="8" t="inlineStr">
        <is>
          <t>里程</t>
        </is>
      </c>
      <c r="H8" s="8" t="inlineStr">
        <is>
          <t>—</t>
        </is>
      </c>
    </row>
    <row r="9" ht="16.5" customHeight="1" s="25">
      <c r="A9" s="8" t="inlineStr">
        <is>
          <t>广发</t>
        </is>
      </c>
      <c r="B9" s="8" t="inlineStr">
        <is>
          <t>尊旅卡</t>
        </is>
      </c>
      <c r="C9" s="8" t="inlineStr">
        <is>
          <t>综合积分</t>
        </is>
      </c>
      <c r="D9" s="8" t="inlineStr">
        <is>
          <t>—</t>
        </is>
      </c>
      <c r="E9" s="8" t="inlineStr">
        <is>
          <t>—</t>
        </is>
      </c>
      <c r="F9" s="8" t="inlineStr">
        <is>
          <t>—</t>
        </is>
      </c>
      <c r="G9" s="8" t="inlineStr">
        <is>
          <t>里程</t>
        </is>
      </c>
      <c r="H9" s="8" t="inlineStr">
        <is>
          <t>—</t>
        </is>
      </c>
    </row>
    <row r="10" ht="16.5" customHeight="1" s="25">
      <c r="A10" s="8" t="inlineStr">
        <is>
          <t>北京</t>
        </is>
      </c>
      <c r="B10" s="8" t="inlineStr">
        <is>
          <t>京彩卡</t>
        </is>
      </c>
      <c r="C10" s="8" t="inlineStr">
        <is>
          <t>综合积分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国航里程</t>
        </is>
      </c>
      <c r="H10" s="8" t="inlineStr">
        <is>
          <t>—</t>
        </is>
      </c>
    </row>
  </sheetData>
  <mergeCells count="2">
    <mergeCell ref="A2:H2"/>
    <mergeCell ref="A1:H1"/>
  </mergeCells>
  <conditionalFormatting sqref="F4:F10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B0F0"/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D21" sqref="D21"/>
    </sheetView>
  </sheetViews>
  <sheetFormatPr baseColWidth="8" defaultRowHeight="13.5"/>
  <cols>
    <col width="14" customWidth="1" style="25" min="1" max="1"/>
    <col width="10" customWidth="1" style="25" min="2" max="2"/>
    <col width="12" customWidth="1" style="25" min="3" max="3"/>
    <col width="40" customWidth="1" style="25" min="4" max="4"/>
    <col width="10" customWidth="1" style="25" min="5" max="5"/>
    <col width="20" customWidth="1" style="25" min="6" max="6"/>
  </cols>
  <sheetData>
    <row r="1" ht="30" customHeight="1" s="25">
      <c r="A1" s="33" t="inlineStr">
        <is>
          <t>日常记录 — 申请二卡、提额、销卡等操作记录</t>
        </is>
      </c>
    </row>
    <row r="2" ht="24.95" customHeight="1" s="25">
      <c r="A2" s="9" t="inlineStr">
        <is>
          <t>日期</t>
        </is>
      </c>
      <c r="B2" s="9" t="inlineStr">
        <is>
          <t>银行</t>
        </is>
      </c>
      <c r="C2" s="9" t="inlineStr">
        <is>
          <t>操作类型</t>
        </is>
      </c>
      <c r="D2" s="9" t="inlineStr">
        <is>
          <t>操作详情</t>
        </is>
      </c>
      <c r="E2" s="9" t="inlineStr">
        <is>
          <t>结果</t>
        </is>
      </c>
      <c r="F2" s="9" t="inlineStr">
        <is>
          <t>备注</t>
        </is>
      </c>
    </row>
    <row r="3" ht="21.95" customHeight="1" s="25">
      <c r="A3" s="10" t="inlineStr">
        <is>
          <t>2025-08-15</t>
        </is>
      </c>
      <c r="B3" s="10" t="inlineStr">
        <is>
          <t>工商</t>
        </is>
      </c>
      <c r="C3" s="10" t="inlineStr">
        <is>
          <t>申请提额</t>
        </is>
      </c>
      <c r="D3" s="10" t="inlineStr">
        <is>
          <t>申请提额至10W</t>
        </is>
      </c>
      <c r="E3" s="21" t="inlineStr">
        <is>
          <t>✅成功</t>
        </is>
      </c>
      <c r="F3" s="10" t="inlineStr">
        <is>
          <t>10W额度获批</t>
        </is>
      </c>
    </row>
    <row r="4" ht="21.95" customHeight="1" s="25">
      <c r="A4" s="10" t="inlineStr">
        <is>
          <t>2025-12-07</t>
        </is>
      </c>
      <c r="B4" s="10" t="inlineStr">
        <is>
          <t>广发</t>
        </is>
      </c>
      <c r="C4" s="10" t="inlineStr">
        <is>
          <t>申请提额</t>
        </is>
      </c>
      <c r="D4" s="10" t="inlineStr">
        <is>
          <t>自动出现额度，直接申请</t>
        </is>
      </c>
      <c r="E4" s="21" t="inlineStr">
        <is>
          <t>✅成功</t>
        </is>
      </c>
      <c r="F4" s="10" t="inlineStr">
        <is>
          <t>申请的是VISA卡！</t>
        </is>
      </c>
    </row>
    <row r="5" ht="21.95" customHeight="1" s="25">
      <c r="A5" s="10" t="inlineStr">
        <is>
          <t>2025-12-07</t>
        </is>
      </c>
      <c r="B5" s="10" t="inlineStr">
        <is>
          <t>建行</t>
        </is>
      </c>
      <c r="C5" s="10" t="inlineStr">
        <is>
          <t>申请提额</t>
        </is>
      </c>
      <c r="D5" s="10" t="inlineStr">
        <is>
          <t>申请提额</t>
        </is>
      </c>
      <c r="E5" s="22" t="inlineStr">
        <is>
          <t>❌拒绝</t>
        </is>
      </c>
      <c r="F5" s="10" t="inlineStr">
        <is>
          <t>—</t>
        </is>
      </c>
    </row>
    <row r="6" ht="21.95" customHeight="1" s="25">
      <c r="A6" s="10" t="inlineStr">
        <is>
          <t>—</t>
        </is>
      </c>
      <c r="B6" s="10" t="inlineStr">
        <is>
          <t>招商</t>
        </is>
      </c>
      <c r="C6" s="10" t="inlineStr">
        <is>
          <t>办理二卡</t>
        </is>
      </c>
      <c r="D6" s="10" t="inlineStr">
        <is>
          <t>—</t>
        </is>
      </c>
      <c r="E6" s="23" t="inlineStr">
        <is>
          <t>待记录</t>
        </is>
      </c>
      <c r="F6" s="10" t="inlineStr">
        <is>
          <t>—</t>
        </is>
      </c>
    </row>
    <row r="7" ht="21.95" customHeight="1" s="25">
      <c r="A7" s="10" t="inlineStr">
        <is>
          <t>—</t>
        </is>
      </c>
      <c r="B7" s="10" t="inlineStr">
        <is>
          <t>中信</t>
        </is>
      </c>
      <c r="C7" s="10" t="inlineStr">
        <is>
          <t>办理二卡</t>
        </is>
      </c>
      <c r="D7" s="10" t="inlineStr">
        <is>
          <t>—</t>
        </is>
      </c>
      <c r="E7" s="23" t="inlineStr">
        <is>
          <t>待记录</t>
        </is>
      </c>
      <c r="F7" s="10" t="inlineStr">
        <is>
          <t>—</t>
        </is>
      </c>
    </row>
    <row r="8" ht="21.95" customHeight="1" s="25">
      <c r="A8" s="10" t="inlineStr">
        <is>
          <t>—</t>
        </is>
      </c>
      <c r="B8" s="10" t="inlineStr">
        <is>
          <t>中信</t>
        </is>
      </c>
      <c r="C8" s="10" t="inlineStr">
        <is>
          <t>提额</t>
        </is>
      </c>
      <c r="D8" s="10" t="inlineStr">
        <is>
          <t>APP人工提额度，授权了个税记录</t>
        </is>
      </c>
      <c r="E8" s="23" t="inlineStr">
        <is>
          <t>待结果</t>
        </is>
      </c>
      <c r="F8" s="10" t="inlineStr">
        <is>
          <t>—</t>
        </is>
      </c>
    </row>
    <row r="9" ht="21.95" customHeight="1" s="25">
      <c r="A9" s="10" t="inlineStr">
        <is>
          <t>—</t>
        </is>
      </c>
      <c r="B9" s="10" t="inlineStr">
        <is>
          <t>农行</t>
        </is>
      </c>
      <c r="C9" s="10" t="inlineStr">
        <is>
          <t>申请提额</t>
        </is>
      </c>
      <c r="D9" s="10" t="inlineStr">
        <is>
          <t>申请12W</t>
        </is>
      </c>
      <c r="E9" s="22" t="inlineStr">
        <is>
          <t>❌未通过</t>
        </is>
      </c>
      <c r="F9" s="10" t="inlineStr">
        <is>
          <t>—</t>
        </is>
      </c>
    </row>
    <row r="10" ht="21.95" customHeight="1" s="25">
      <c r="A10" s="10" t="inlineStr">
        <is>
          <t>—</t>
        </is>
      </c>
      <c r="B10" s="10" t="inlineStr">
        <is>
          <t>农行</t>
        </is>
      </c>
      <c r="C10" s="10" t="inlineStr">
        <is>
          <t>申请提额</t>
        </is>
      </c>
      <c r="D10" s="10" t="inlineStr">
        <is>
          <t>再次申请15W</t>
        </is>
      </c>
      <c r="E10" s="22" t="inlineStr">
        <is>
          <t>❌未通过</t>
        </is>
      </c>
      <c r="F10" s="10" t="inlineStr">
        <is>
          <t>—</t>
        </is>
      </c>
    </row>
    <row r="11" ht="21.95" customHeight="1" s="25">
      <c r="A11" s="10" t="inlineStr">
        <is>
          <t>2026-06</t>
        </is>
      </c>
      <c r="B11" s="10" t="inlineStr">
        <is>
          <t>农行</t>
        </is>
      </c>
      <c r="C11" s="10" t="inlineStr">
        <is>
          <t>申请提额</t>
        </is>
      </c>
      <c r="D11" s="10" t="inlineStr">
        <is>
          <t>申请10W</t>
        </is>
      </c>
      <c r="E11" s="22" t="inlineStr">
        <is>
          <t>❌未通过</t>
        </is>
      </c>
      <c r="F11" s="10" t="inlineStr">
        <is>
          <t>—</t>
        </is>
      </c>
    </row>
    <row r="12" ht="21.95" customHeight="1" s="25">
      <c r="A12" s="10" t="inlineStr">
        <is>
          <t>—</t>
        </is>
      </c>
      <c r="B12" s="10" t="inlineStr">
        <is>
          <t>光大</t>
        </is>
      </c>
      <c r="C12" s="10" t="inlineStr">
        <is>
          <t>申请提额</t>
        </is>
      </c>
      <c r="D12" s="10" t="inlineStr">
        <is>
          <t>没有申请按钮，需要分期？</t>
        </is>
      </c>
      <c r="E12" s="23" t="inlineStr">
        <is>
          <t>待确认</t>
        </is>
      </c>
      <c r="F12" s="10" t="inlineStr">
        <is>
          <t>—</t>
        </is>
      </c>
    </row>
    <row r="13" ht="21.95" customHeight="1" s="25">
      <c r="A13" s="10" t="inlineStr">
        <is>
          <t>—</t>
        </is>
      </c>
      <c r="B13" s="10" t="inlineStr">
        <is>
          <t>邮储</t>
        </is>
      </c>
      <c r="C13" s="10" t="inlineStr">
        <is>
          <t>申请提额</t>
        </is>
      </c>
      <c r="D13" s="10" t="inlineStr">
        <is>
          <t>没有申请按钮，需要分期？</t>
        </is>
      </c>
      <c r="E13" s="23" t="inlineStr">
        <is>
          <t>待确认</t>
        </is>
      </c>
      <c r="F13" s="10" t="inlineStr">
        <is>
          <t>—</t>
        </is>
      </c>
    </row>
  </sheetData>
  <mergeCells count="1">
    <mergeCell ref="A1:F1"/>
  </mergeCells>
  <conditionalFormatting sqref="E3:E13">
    <cfRule type="cellIs" priority="1" operator="equal" dxfId="2">
      <formula>"✅*"</formula>
    </cfRule>
    <cfRule type="cellIs" priority="2" operator="equal" dxfId="1">
      <formula>"❌*"</formula>
    </cfRule>
    <cfRule type="cellIs" priority="3" operator="equal" dxfId="0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2026-06-07T04:09:43Z</dcterms:created>
  <dcterms:modified xmlns:dcterms="http://purl.org/dc/terms/" xmlns:xsi="http://www.w3.org/2001/XMLSchema-instance" xsi:type="dcterms:W3CDTF">2026-06-07T15:41:09Z</dcterms:modified>
  <cp:lastModifiedBy>wei han</cp:lastModifiedBy>
</cp:coreProperties>
</file>