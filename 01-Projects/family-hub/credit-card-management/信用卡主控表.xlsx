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0" i="3" l="1"/>
  <c r="E40" i="3" s="1"/>
  <c r="D39" i="3" l="1"/>
  <c r="E39" i="3" s="1"/>
  <c r="E30" i="3" l="1"/>
  <c r="E54" i="3" s="1"/>
  <c r="D30" i="3"/>
  <c r="D54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<sst xmlns="http://schemas.openxmlformats.org/spreadsheetml/2006/main" count="998" uniqueCount="403">
  <si>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</si>
  <si>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</si>
  <si>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</si>
  <si>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</si>
  <si>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</si>
  <si>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</si>
  <si>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</si>
  <si>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</si>
  <si>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</si>
  <si>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</si>
  <si>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</si>
  <si>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</si>
  <si>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</si>
  <si>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</si>
  <si>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</si>
  <si>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</si>
  <si>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</si>
  <si>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</si>
  <si>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</si>
  <si>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</si>
  <si>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</si>
  <si>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</si>
  <si>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</si>
  <si>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</si>
  <si>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</si>
  <si>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</si>
  <si>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</si>
  <si>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</si>
  <si>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</si>
  <si>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</si>
  <si>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</si>
  <si>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</si>
  <si>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</si>
  <si>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</si>
  <si>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</si>
  <si>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</si>
  <si>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</si>
  <si>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</si>
  <si>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</si>
  <si>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</si>
  <si>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</si>
  <si>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</si>
  <si>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</si>
  <si>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</si>
  <si>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</si>
  <si>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</si>
  <si>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</si>
  <si>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</si>
  <si>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</si>
  <si>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</si>
  <si>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</si>
  <si>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</si>
  <si>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</si>
  <si>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</si>
  <si>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</si>
  <si>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</si>
  <si>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</si>
  <si>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</si>
  <si>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</si>
  <si>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</si>
  <si>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</si>
  <si>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</si>
  <si>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</si>
  <si>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</si>
  <si>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</si>
  <si>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</si>
  <si>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</si>
  <si>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</si>
  <si>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</si>
  <si>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</si>
  <si>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</si>
  <si>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</si>
  <si>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</si>
  <si>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</si>
  <si>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</si>
  <si>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</si>
  <si>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</si>
  <si>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</si>
  <si>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</si>
  <si>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</si>
  <si>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</si>
  <si>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</si>
  <si>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</si>
  <si>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</si>
  <si>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</si>
  <si>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</si>
  <si>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</si>
  <si>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</si>
  <si>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</si>
  <si>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</si>
  <si>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</si>
  <si>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</si>
  <si>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</si>
  <si>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</si>
  <si>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</si>
  <si>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</si>
  <si>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</si>
  <si>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</si>
  <si>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</si>
  <si>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</si>
  <si>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</si>
  <si>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</si>
  <si>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</si>
  <si>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</si>
  <si>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</si>
  <si>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</si>
  <si>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</si>
  <si>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</si>
  <si>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</si>
  <si>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</si>
  <si>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</si>
  <si>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</si>
  <si>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</si>
  <si>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</si>
  <si>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</si>
  <si>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</si>
  <si>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</si>
  <si>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</si>
  <si>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</si>
  <si>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</si>
  <si>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</si>
  <si>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</si>
  <si>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</si>
  <si>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</si>
  <si>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</si>
  <si>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</si>
  <si>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</si>
  <si>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</si>
  <si>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</si>
  <si>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</si>
  <si>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</si>
  <si>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</si>
  <si>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</si>
  <si>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</si>
  <si>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</si>
  <si>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</si>
  <si>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</si>
  <si>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</si>
  <si>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</si>
  <si>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</si>
  <si>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</si>
  <si>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</si>
  <si>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</si>
  <si>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</si>
  <si>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</si>
  <si>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</si>
  <si>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</si>
  <si>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</si>
  <si>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</si>
  <si>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</si>
  <si>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</si>
  <si>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</si>
  <si>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</si>
  <si>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</si>
  <si>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</si>
  <si>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</si>
  <si>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</si>
  <si>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</si>
  <si>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</si>
  <si>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</si>
  <si>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</si>
  <si>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</si>
  <si>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</si>
  <si>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</si>
  <si>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</si>
  <si>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</si>
  <si>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</si>
  <si>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</si>
  <si>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</si>
  <si>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</si>
  <si>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</si>
  <si>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</si>
  <si>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</si>
  <si>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</si>
  <si>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</si>
  <si>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</si>
  <si>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</si>
  <si>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</si>
  <si>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</si>
  <si>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</si>
  <si>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</si>
  <si>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</si>
  <si>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</si>
  <si>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</si>
  <si>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</si>
  <si>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</si>
  <si>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</si>
  <si>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</si>
  <si>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</si>
  <si>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</si>
  <si>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</si>
  <si>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</si>
  <si>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</si>
  <si>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</si>
  <si>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</si>
  <si>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</si>
  <si>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</si>
  <si>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</si>
  <si>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</si>
  <si>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</si>
  <si>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</si>
  <si>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</si>
  <si>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</si>
  <si>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</si>
  <si>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</si>
  <si>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</si>
  <si>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</si>
  <si>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</si>
  <si>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</si>
  <si>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</si>
  <si>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</si>
  <si>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</si>
  <si>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</si>
  <si>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</si>
  <si>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</si>
  <si>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</si>
  <si>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</si>
  <si>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</si>
  <si>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</si>
  <si>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</si>
  <si>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</si>
  <si>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</si>
  <si>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</si>
  <si>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</si>
  <si>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</si>
  <si>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</si>
  <si>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</si>
  <si>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</si>
  <si>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</si>
  <si>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</si>
  <si>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</si>
  <si>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</si>
  <si>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</si>
  <si>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</si>
  <si>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</si>
  <si>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</si>
  <si>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</si>
  <si>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</si>
  <si>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</si>
  <si>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</si>
  <si>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</si>
  <si>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</si>
  <si>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</si>
  <si>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</si>
  <si>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</si>
  <si>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</si>
  <si>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</si>
  <si>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</si>
  <si>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</si>
  <si>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</si>
  <si>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</si>
  <si>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</si>
  <si>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</si>
  <si>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</si>
  <si>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</si>
  <si>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</si>
  <si>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</si>
  <si>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</si>
  <si>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</si>
  <si>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</si>
  <si>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</si>
  <si>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</si>
  <si>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</si>
  <si>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</si>
  <si>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</si>
  <si>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</si>
  <si>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</si>
  <si>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</si>
  <si>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</si>
  <si>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</si>
  <si>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</si>
  <si>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</si>
  <si>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</si>
  <si>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</si>
  <si>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</si>
  <si>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</si>
  <si>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</si>
  <si>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</si>
  <si>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</si>
  <si>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</si>
  <si>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</si>
  <si>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</si>
  <si>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</si>
  <si>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</si>
  <si>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</si>
  <si>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</si>
  <si>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</si>
  <si>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</si>
  <si>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</si>
  <si>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</si>
  <si>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</si>
  <si>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</si>
  <si>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</si>
  <si>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</si>
  <si>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</si>
  <si>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</si>
  <si>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</si>
  <si>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</si>
  <si>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</si>
  <si>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</si>
  <si>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</si>
  <si>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</si>
  <si>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</si>
  <si>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</si>
  <si>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</si>
  <si>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</si>
  <si>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</si>
  <si>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</si>
  <si>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</si>
  <si>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</si>
  <si>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</si>
  <si>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</si>
  <si>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</si>
  <si>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</si>
  <si>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</si>
  <si>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</si>
  <si>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</si>
  <si>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</si>
  <si>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</si>
  <si>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</si>
  <si>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</si>
  <si>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</si>
  <si>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</si>
  <si>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</si>
  <si>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</si>
  <si>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</si>
  <si>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</si>
  <si>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</si>
  <si>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</si>
  <si>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</si>
  <si>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</si>
  <si>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</si>
  <si>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</si>
  <si>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</si>
  <si>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</si>
  <si>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</si>
  <si>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</si>
  <si>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</si>
  <si>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</si>
  <si>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</si>
  <si>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</si>
  <si>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</si>
  <si>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</si>
  <si>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</si>
  <si>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</si>
  <si>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</si>
  <si>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</si>
  <si>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</si>
  <si>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</si>
  <si>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</si>
  <si>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</si>
  <si>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</si>
  <si>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</si>
  <si>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</si>
  <si>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</si>
  <si>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</si>
  <si>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</si>
  <si>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</si>
  <si>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</si>
  <si>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</si>
  <si>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</si>
  <si>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</si>
  <si>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</si>
  <si>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</si>
  <si>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</si>
  <si>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</si>
  <si>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</si>
  <si>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</si>
  <si>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</si>
  <si>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</si>
  <si>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</si>
  <si>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</si>
  <si>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</si>
  <si>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</si>
  <si>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</si>
  <si>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</si>
  <si>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</si>
  <si>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</si>
  <si>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</si>
  <si>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</si>
  <si>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</si>
  <si>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</si>
  <si>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</si>
  <si>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</si>
  <si>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</si>
  <si>
    <t>25日</t>
    <phoneticPr fontId="7" type="noConversion"/>
  </si>
  <si>
    <t>农行</t>
    <phoneticPr fontId="7" type="noConversion"/>
  </si>
  <si>
    <t>积分兑换里程</t>
    <phoneticPr fontId="7" type="noConversion"/>
  </si>
  <si>
    <t>交通-2</t>
    <phoneticPr fontId="7" type="noConversion"/>
  </si>
  <si>
    <t>白金</t>
    <phoneticPr fontId="7" type="noConversion"/>
  </si>
  <si>
    <t>6笔</t>
    <phoneticPr fontId="7" type="noConversion"/>
  </si>
  <si>
    <t>刷6笔数抵扣</t>
    <phoneticPr fontId="7" type="noConversion"/>
  </si>
  <si>
    <t>0账单还款日历1 — 账单日=还款日，当天还清</t>
    <phoneticPr fontId="7" type="noConversion"/>
  </si>
  <si>
    <t>0账单还款日历2 — 账单日=还款日，当天还清</t>
    <phoneticPr fontId="7" type="noConversion"/>
  </si>
  <si>
    <t>交通2</t>
    <phoneticPr fontId="7" type="noConversion"/>
  </si>
  <si>
    <t>工商2</t>
    <phoneticPr fontId="7" type="noConversion"/>
  </si>
  <si>
    <t>南航卡</t>
    <phoneticPr fontId="7" type="noConversion"/>
  </si>
  <si>
    <t>不支持修改账单日！</t>
    <phoneticPr fontId="7" type="noConversion"/>
  </si>
  <si>
    <t>APP可以领取 30元券
账单日 根据1卡走</t>
    <phoneticPr fontId="7" type="noConversion"/>
  </si>
  <si>
    <t>自动兑换里程</t>
    <phoneticPr fontId="7" type="noConversion"/>
  </si>
  <si>
    <t>南航卡</t>
    <phoneticPr fontId="7" type="noConversion"/>
  </si>
  <si>
    <t>和卡1  账单日不一样</t>
    <phoneticPr fontId="7" type="noConversion"/>
  </si>
  <si>
    <t>农行1(少刷)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</si>
</sst>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  <xf numFmtId="0" fontId="0" fillId="0" borderId="0" xfId="0"/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0" fillId="0" borderId="0" xfId="0"/>
    <xf numFmtId="58" fontId="3" fillId="0" borderId="5" xfId="0" applyNumberFormat="1" applyFont="1" applyBorder="1" applyAlignment="1">
      <alignment horizontal="center" vertical="center" wrapText="1"/>
    </xf>
    <xf numFmtId="0" fontId="0" fillId="0" borderId="0" xfId="0"/>
    <xf numFmtId="0" fontId="11" fillId="0" borderId="0" xfId="0" applyFont="1"/>
    <xf numFmtId="0" fontId="15" fillId="0" borderId="0" xfId="0" applyFont="1" applyFill="1" applyBorder="1" applyAlignment="1">
      <alignment horizontal="left" vertical="center" wrapText="1"/>
    </xf>
    <xf numFmtId="3" fontId="3" fillId="15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5" xfId="0" applyFont="1" applyBorder="1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</cellXfs>
  <cellStyles count="1">
    <cellStyle name="常规" xfId="0" builtinId="0"/>
  </cellStyles>
  <dxfs count="21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3" activePane="bottomLeft" state="frozen"/>
      <selection pane="bottomLeft" activeCell="J19" sqref="J19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95" t="s">
        <v>0</v>
      </c>
      <c r="B1" s="96"/>
      <c r="C1" s="96"/>
      <c r="D1" s="96"/>
      <c r="E1" s="96"/>
      <c r="F1" s="96"/>
      <c r="G1" s="96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57" t="s">
        <v>9</v>
      </c>
      <c r="C3" s="57" t="s">
        <v>10</v>
      </c>
      <c r="D3" s="57" t="s">
        <v>11</v>
      </c>
      <c r="E3" s="94">
        <v>0</v>
      </c>
      <c r="F3" s="94">
        <v>0</v>
      </c>
      <c r="G3" s="57" t="s">
        <v>329</v>
      </c>
      <c r="H3" s="53" t="s">
        <v>327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333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334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319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318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347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347</v>
      </c>
    </row>
    <row r="19" spans="1:8" ht="16.5" customHeight="1">
      <c r="A19" s="101" t="s">
        <v>55</v>
      </c>
      <c r="B19" s="99"/>
      <c r="C19" s="99"/>
      <c r="D19" s="100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97" t="s">
        <v>56</v>
      </c>
      <c r="B21" s="96"/>
      <c r="C21" s="96"/>
      <c r="D21" s="96"/>
      <c r="E21" s="96"/>
      <c r="F21" s="96"/>
      <c r="G21" s="96"/>
    </row>
    <row r="24" spans="1:8" ht="21" customHeight="1">
      <c r="A24" s="95" t="s">
        <v>57</v>
      </c>
      <c r="B24" s="96"/>
      <c r="C24" s="96"/>
      <c r="D24" s="96"/>
      <c r="E24" s="96"/>
      <c r="F24" s="96"/>
      <c r="G24" s="96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324</v>
      </c>
      <c r="D26" s="35" t="s">
        <v>11</v>
      </c>
      <c r="E26" s="39">
        <v>11000</v>
      </c>
      <c r="F26" s="39">
        <v>11000</v>
      </c>
      <c r="G26" s="50" t="s">
        <v>322</v>
      </c>
      <c r="H26" s="53" t="s">
        <v>323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317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74" t="s">
        <v>356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98" t="s">
        <v>73</v>
      </c>
      <c r="B38" s="99"/>
      <c r="C38" s="99"/>
      <c r="D38" s="100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3"/>
  <sheetViews>
    <sheetView workbookViewId="0">
      <pane ySplit="2" topLeftCell="A3" activePane="bottomLeft" state="frozen"/>
      <selection pane="bottomLeft" activeCell="I13" sqref="I13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95" t="s">
        <v>74</v>
      </c>
      <c r="B1" s="96"/>
      <c r="C1" s="96"/>
      <c r="D1" s="96"/>
      <c r="E1" s="96"/>
      <c r="F1" s="96"/>
      <c r="G1" s="96"/>
      <c r="H1" s="96"/>
    </row>
    <row r="3" spans="1:9" ht="15" customHeight="1">
      <c r="A3" s="103" t="s">
        <v>75</v>
      </c>
      <c r="B3" s="99"/>
      <c r="C3" s="99"/>
      <c r="D3" s="99"/>
      <c r="E3" s="99"/>
      <c r="F3" s="99"/>
      <c r="G3" s="99"/>
      <c r="H3" s="100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321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103" t="s">
        <v>94</v>
      </c>
      <c r="B10" s="99"/>
      <c r="C10" s="99"/>
      <c r="D10" s="99"/>
      <c r="E10" s="99"/>
      <c r="F10" s="99"/>
      <c r="G10" s="99"/>
      <c r="H10" s="100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s="87" customFormat="1" ht="31.5" customHeight="1">
      <c r="A13" s="88" t="s">
        <v>388</v>
      </c>
      <c r="B13" s="88" t="s">
        <v>389</v>
      </c>
      <c r="C13" s="88" t="s">
        <v>390</v>
      </c>
      <c r="D13" s="88">
        <v>6</v>
      </c>
      <c r="E13" s="88">
        <v>0</v>
      </c>
      <c r="F13" s="90">
        <v>46265</v>
      </c>
      <c r="G13" s="88"/>
      <c r="H13" s="16" t="s">
        <v>85</v>
      </c>
      <c r="I13" s="43"/>
    </row>
    <row r="14" spans="1:9" ht="16.5" customHeight="1">
      <c r="A14" s="8" t="s">
        <v>44</v>
      </c>
      <c r="B14" s="8" t="s">
        <v>45</v>
      </c>
      <c r="C14" s="8" t="s">
        <v>101</v>
      </c>
      <c r="D14" s="8" t="s">
        <v>11</v>
      </c>
      <c r="E14" s="8">
        <v>0</v>
      </c>
      <c r="F14" s="12">
        <v>46234</v>
      </c>
      <c r="G14" s="8"/>
      <c r="H14" s="16" t="s">
        <v>85</v>
      </c>
      <c r="I14" s="13" t="s">
        <v>86</v>
      </c>
    </row>
    <row r="15" spans="1:9" ht="16.5" customHeight="1">
      <c r="A15" s="8" t="s">
        <v>40</v>
      </c>
      <c r="B15" s="8" t="s">
        <v>11</v>
      </c>
      <c r="C15" s="8" t="s">
        <v>102</v>
      </c>
      <c r="D15" s="8" t="s">
        <v>11</v>
      </c>
      <c r="E15" s="8">
        <v>0</v>
      </c>
      <c r="F15" s="12">
        <v>46317</v>
      </c>
      <c r="G15" s="8"/>
      <c r="H15" s="16" t="s">
        <v>85</v>
      </c>
      <c r="I15" s="13" t="s">
        <v>86</v>
      </c>
    </row>
    <row r="16" spans="1:9" ht="30.75" customHeight="1">
      <c r="A16" s="8" t="s">
        <v>52</v>
      </c>
      <c r="B16" s="8" t="s">
        <v>53</v>
      </c>
      <c r="C16" s="8" t="s">
        <v>103</v>
      </c>
      <c r="D16" s="8">
        <v>5</v>
      </c>
      <c r="E16" s="8">
        <v>0</v>
      </c>
      <c r="F16" s="12">
        <v>46080</v>
      </c>
      <c r="G16" s="8"/>
      <c r="H16" s="16" t="s">
        <v>85</v>
      </c>
      <c r="I16" s="13" t="s">
        <v>104</v>
      </c>
    </row>
    <row r="17" spans="1:9" ht="16.5" customHeight="1">
      <c r="A17" s="8" t="s">
        <v>49</v>
      </c>
      <c r="B17" s="8" t="s">
        <v>50</v>
      </c>
      <c r="C17" s="8" t="s">
        <v>105</v>
      </c>
      <c r="D17" s="8">
        <v>15</v>
      </c>
      <c r="E17" s="8">
        <v>0</v>
      </c>
      <c r="F17" s="8" t="s">
        <v>11</v>
      </c>
      <c r="G17" s="8"/>
      <c r="H17" s="16" t="s">
        <v>85</v>
      </c>
      <c r="I17" s="13" t="s">
        <v>106</v>
      </c>
    </row>
    <row r="18" spans="1:9" ht="16.5" customHeight="1">
      <c r="A18" s="8" t="s">
        <v>38</v>
      </c>
      <c r="B18" s="8" t="s">
        <v>69</v>
      </c>
      <c r="C18" s="8" t="s">
        <v>107</v>
      </c>
      <c r="D18" s="8">
        <v>6</v>
      </c>
      <c r="E18" s="8">
        <v>0</v>
      </c>
      <c r="F18" s="12">
        <v>46044</v>
      </c>
      <c r="G18" s="8"/>
      <c r="H18" s="16" t="s">
        <v>85</v>
      </c>
      <c r="I18" s="13" t="s">
        <v>108</v>
      </c>
    </row>
    <row r="19" spans="1:9" ht="16.5" customHeight="1">
      <c r="A19" s="8"/>
      <c r="B19" s="8"/>
      <c r="C19" s="8"/>
      <c r="D19" s="8"/>
      <c r="E19" s="8"/>
      <c r="F19" s="8"/>
      <c r="G19" s="8"/>
      <c r="H19" s="8"/>
      <c r="I19" s="13"/>
    </row>
    <row r="20" spans="1:9" ht="16.5" customHeight="1">
      <c r="A20" s="103" t="s">
        <v>109</v>
      </c>
      <c r="B20" s="99"/>
      <c r="C20" s="99"/>
      <c r="D20" s="99"/>
      <c r="E20" s="99"/>
      <c r="F20" s="99"/>
      <c r="G20" s="99"/>
      <c r="H20" s="100"/>
      <c r="I20" s="24"/>
    </row>
    <row r="21" spans="1:9" ht="16.5" customHeight="1">
      <c r="A21" s="4" t="s">
        <v>2</v>
      </c>
      <c r="B21" s="4" t="s">
        <v>3</v>
      </c>
      <c r="C21" s="4" t="s">
        <v>95</v>
      </c>
      <c r="D21" s="4" t="s">
        <v>110</v>
      </c>
      <c r="E21" s="4" t="s">
        <v>78</v>
      </c>
      <c r="F21" s="4" t="s">
        <v>97</v>
      </c>
      <c r="G21" s="4" t="s">
        <v>11</v>
      </c>
      <c r="H21" s="4" t="s">
        <v>81</v>
      </c>
      <c r="I21" s="4" t="s">
        <v>82</v>
      </c>
    </row>
    <row r="22" spans="1:9" ht="16.5" customHeight="1">
      <c r="A22" s="8" t="s">
        <v>25</v>
      </c>
      <c r="B22" s="8" t="s">
        <v>26</v>
      </c>
      <c r="C22" s="8" t="s">
        <v>111</v>
      </c>
      <c r="D22" s="8" t="s">
        <v>111</v>
      </c>
      <c r="E22" s="8">
        <v>0</v>
      </c>
      <c r="F22" s="12">
        <v>46233</v>
      </c>
      <c r="G22" s="8"/>
      <c r="H22" s="16" t="s">
        <v>85</v>
      </c>
      <c r="I22" s="14" t="s">
        <v>112</v>
      </c>
    </row>
    <row r="23" spans="1:9" ht="16.5" customHeight="1">
      <c r="A23" s="8" t="s">
        <v>12</v>
      </c>
      <c r="B23" s="8" t="s">
        <v>13</v>
      </c>
      <c r="C23" s="8" t="s">
        <v>113</v>
      </c>
      <c r="D23" s="8" t="s">
        <v>113</v>
      </c>
      <c r="E23" s="8">
        <v>0</v>
      </c>
      <c r="F23" s="8" t="s">
        <v>114</v>
      </c>
      <c r="G23" s="8"/>
      <c r="H23" s="16" t="s">
        <v>85</v>
      </c>
      <c r="I23" s="13" t="s">
        <v>86</v>
      </c>
    </row>
    <row r="24" spans="1:9" ht="30.75" customHeight="1">
      <c r="A24" s="8" t="s">
        <v>15</v>
      </c>
      <c r="B24" s="8" t="s">
        <v>16</v>
      </c>
      <c r="C24" s="8" t="s">
        <v>115</v>
      </c>
      <c r="D24" s="8" t="s">
        <v>11</v>
      </c>
      <c r="E24" s="8" t="s">
        <v>11</v>
      </c>
      <c r="F24" s="8" t="s">
        <v>11</v>
      </c>
      <c r="G24" s="8"/>
      <c r="H24" s="17" t="s">
        <v>90</v>
      </c>
      <c r="I24" s="14" t="s">
        <v>116</v>
      </c>
    </row>
    <row r="25" spans="1:9" ht="16.5" customHeight="1">
      <c r="A25" s="8"/>
      <c r="B25" s="8"/>
      <c r="C25" s="8"/>
      <c r="D25" s="8"/>
      <c r="E25" s="8"/>
      <c r="F25" s="8"/>
      <c r="G25" s="8"/>
      <c r="H25" s="8"/>
      <c r="I25" s="13"/>
    </row>
    <row r="26" spans="1:9" ht="16.5" customHeight="1">
      <c r="A26" s="103" t="s">
        <v>117</v>
      </c>
      <c r="B26" s="99"/>
      <c r="C26" s="99"/>
      <c r="D26" s="99"/>
      <c r="E26" s="99"/>
      <c r="F26" s="99"/>
      <c r="G26" s="99"/>
      <c r="H26" s="100"/>
      <c r="I26" s="24"/>
    </row>
    <row r="27" spans="1:9" ht="16.5" customHeight="1">
      <c r="A27" s="4" t="s">
        <v>2</v>
      </c>
      <c r="B27" s="4" t="s">
        <v>3</v>
      </c>
      <c r="C27" s="4" t="s">
        <v>118</v>
      </c>
      <c r="D27" s="4" t="s">
        <v>119</v>
      </c>
      <c r="E27" s="4" t="s">
        <v>120</v>
      </c>
      <c r="F27" s="4" t="s">
        <v>121</v>
      </c>
      <c r="G27" s="4" t="s">
        <v>11</v>
      </c>
      <c r="H27" s="4" t="s">
        <v>81</v>
      </c>
      <c r="I27" s="4" t="s">
        <v>82</v>
      </c>
    </row>
    <row r="28" spans="1:9" ht="16.5" customHeight="1">
      <c r="A28" s="8" t="s">
        <v>28</v>
      </c>
      <c r="B28" s="8" t="s">
        <v>69</v>
      </c>
      <c r="C28" s="8">
        <v>480</v>
      </c>
      <c r="D28" s="8" t="s">
        <v>122</v>
      </c>
      <c r="E28" s="8" t="s">
        <v>123</v>
      </c>
      <c r="F28" s="8" t="s">
        <v>124</v>
      </c>
      <c r="G28" s="8"/>
      <c r="H28" s="8" t="s">
        <v>11</v>
      </c>
      <c r="I28" s="14" t="s">
        <v>325</v>
      </c>
    </row>
    <row r="29" spans="1:9" ht="33" customHeight="1">
      <c r="A29" s="8" t="s">
        <v>21</v>
      </c>
      <c r="B29" s="8" t="s">
        <v>125</v>
      </c>
      <c r="C29" s="8">
        <v>500</v>
      </c>
      <c r="D29" s="8" t="s">
        <v>126</v>
      </c>
      <c r="E29" s="8" t="s">
        <v>127</v>
      </c>
      <c r="F29" s="8" t="s">
        <v>124</v>
      </c>
      <c r="G29" s="8"/>
      <c r="H29" s="8" t="s">
        <v>11</v>
      </c>
      <c r="I29" s="13" t="s">
        <v>128</v>
      </c>
    </row>
    <row r="30" spans="1:9" ht="33" customHeight="1">
      <c r="A30" s="57" t="s">
        <v>9</v>
      </c>
      <c r="B30" s="57" t="s">
        <v>10</v>
      </c>
      <c r="C30" s="57">
        <v>900</v>
      </c>
      <c r="D30" s="57" t="s">
        <v>129</v>
      </c>
      <c r="E30" s="57" t="s">
        <v>130</v>
      </c>
      <c r="F30" s="58" t="s">
        <v>328</v>
      </c>
      <c r="G30" s="57" t="s">
        <v>131</v>
      </c>
      <c r="H30" s="59" t="s">
        <v>90</v>
      </c>
      <c r="I30" s="60" t="s">
        <v>132</v>
      </c>
    </row>
    <row r="33" spans="1:9" ht="15.75" customHeight="1">
      <c r="A33" s="102" t="s">
        <v>133</v>
      </c>
      <c r="B33" s="96"/>
      <c r="C33" s="96"/>
      <c r="D33" s="96"/>
      <c r="E33" s="96"/>
      <c r="F33" s="96"/>
      <c r="G33" s="96"/>
      <c r="H33" s="96"/>
    </row>
    <row r="36" spans="1:9" ht="14.25" customHeight="1">
      <c r="A36" s="36" t="s">
        <v>134</v>
      </c>
    </row>
    <row r="37" spans="1:9">
      <c r="A37" s="37" t="s">
        <v>75</v>
      </c>
    </row>
    <row r="38" spans="1:9" ht="16.5">
      <c r="A38" s="47" t="s">
        <v>2</v>
      </c>
      <c r="B38" s="47" t="s">
        <v>3</v>
      </c>
      <c r="C38" s="47" t="s">
        <v>76</v>
      </c>
      <c r="D38" s="47" t="s">
        <v>77</v>
      </c>
      <c r="E38" s="47" t="s">
        <v>78</v>
      </c>
      <c r="F38" s="47" t="s">
        <v>79</v>
      </c>
      <c r="G38" s="47" t="s">
        <v>80</v>
      </c>
      <c r="H38" s="47" t="s">
        <v>81</v>
      </c>
      <c r="I38" s="47" t="s">
        <v>82</v>
      </c>
    </row>
    <row r="39" spans="1:9" ht="16.5">
      <c r="A39" s="35" t="s">
        <v>28</v>
      </c>
      <c r="B39" s="35" t="s">
        <v>58</v>
      </c>
      <c r="C39" s="35" t="s">
        <v>135</v>
      </c>
      <c r="D39" s="35" t="s">
        <v>11</v>
      </c>
      <c r="E39" s="35" t="s">
        <v>11</v>
      </c>
      <c r="F39" s="35" t="s">
        <v>136</v>
      </c>
      <c r="G39" s="35" t="s">
        <v>137</v>
      </c>
      <c r="H39" s="42" t="s">
        <v>85</v>
      </c>
      <c r="I39" s="52" t="s">
        <v>353</v>
      </c>
    </row>
    <row r="40" spans="1:9" ht="16.5">
      <c r="A40" s="35" t="s">
        <v>59</v>
      </c>
      <c r="B40" s="35" t="s">
        <v>60</v>
      </c>
      <c r="C40" s="35" t="s">
        <v>138</v>
      </c>
      <c r="D40" s="35" t="s">
        <v>11</v>
      </c>
      <c r="E40" s="35" t="s">
        <v>11</v>
      </c>
      <c r="F40" s="35" t="s">
        <v>139</v>
      </c>
      <c r="G40" s="35" t="s">
        <v>140</v>
      </c>
      <c r="H40" s="42" t="s">
        <v>85</v>
      </c>
      <c r="I40" s="43" t="s">
        <v>141</v>
      </c>
    </row>
    <row r="41" spans="1:9" ht="16.5">
      <c r="A41" s="35" t="s">
        <v>41</v>
      </c>
      <c r="B41" s="35" t="s">
        <v>62</v>
      </c>
      <c r="C41" s="35" t="s">
        <v>142</v>
      </c>
      <c r="D41" s="35" t="s">
        <v>11</v>
      </c>
      <c r="E41" s="35" t="s">
        <v>11</v>
      </c>
      <c r="F41" s="35" t="s">
        <v>143</v>
      </c>
      <c r="G41" s="35" t="s">
        <v>144</v>
      </c>
      <c r="H41" s="44" t="s">
        <v>85</v>
      </c>
      <c r="I41" s="43"/>
    </row>
    <row r="43" spans="1:9">
      <c r="A43" s="37" t="s">
        <v>94</v>
      </c>
    </row>
    <row r="44" spans="1:9" ht="16.5">
      <c r="A44" s="47" t="s">
        <v>2</v>
      </c>
      <c r="B44" s="47" t="s">
        <v>3</v>
      </c>
      <c r="C44" s="47" t="s">
        <v>95</v>
      </c>
      <c r="D44" s="47" t="s">
        <v>96</v>
      </c>
      <c r="E44" s="47" t="s">
        <v>78</v>
      </c>
      <c r="F44" s="47" t="s">
        <v>97</v>
      </c>
      <c r="G44" s="47" t="s">
        <v>11</v>
      </c>
      <c r="H44" s="47" t="s">
        <v>81</v>
      </c>
      <c r="I44" s="47" t="s">
        <v>82</v>
      </c>
    </row>
    <row r="45" spans="1:9" ht="16.5">
      <c r="A45" s="35" t="s">
        <v>64</v>
      </c>
      <c r="B45" s="35" t="s">
        <v>11</v>
      </c>
      <c r="C45" s="35" t="s">
        <v>145</v>
      </c>
      <c r="D45" s="35" t="s">
        <v>11</v>
      </c>
      <c r="E45" s="35" t="s">
        <v>11</v>
      </c>
      <c r="F45" s="35" t="s">
        <v>11</v>
      </c>
      <c r="G45" s="35"/>
      <c r="H45" s="42" t="s">
        <v>90</v>
      </c>
      <c r="I45" s="43"/>
    </row>
    <row r="46" spans="1:9" ht="16.5">
      <c r="A46" s="35" t="s">
        <v>40</v>
      </c>
      <c r="B46" s="35" t="s">
        <v>11</v>
      </c>
      <c r="C46" s="35" t="s">
        <v>102</v>
      </c>
      <c r="D46" s="35" t="s">
        <v>11</v>
      </c>
      <c r="E46" s="35" t="s">
        <v>11</v>
      </c>
      <c r="F46" s="35" t="s">
        <v>146</v>
      </c>
      <c r="G46" s="35"/>
      <c r="H46" s="42" t="s">
        <v>90</v>
      </c>
      <c r="I46" s="43" t="s">
        <v>147</v>
      </c>
    </row>
    <row r="47" spans="1:9" ht="16.5">
      <c r="A47" s="35" t="s">
        <v>18</v>
      </c>
      <c r="B47" s="35" t="s">
        <v>69</v>
      </c>
      <c r="C47" s="49" t="s">
        <v>320</v>
      </c>
      <c r="D47" s="35" t="s">
        <v>11</v>
      </c>
      <c r="E47" s="35" t="s">
        <v>11</v>
      </c>
      <c r="F47" s="35" t="s">
        <v>11</v>
      </c>
      <c r="G47" s="35" t="s">
        <v>11</v>
      </c>
      <c r="H47" s="42" t="s">
        <v>90</v>
      </c>
      <c r="I47" s="45" t="s">
        <v>361</v>
      </c>
    </row>
    <row r="49" spans="1:9">
      <c r="A49" s="37" t="s">
        <v>150</v>
      </c>
    </row>
    <row r="50" spans="1:9" ht="16.5">
      <c r="A50" s="47" t="s">
        <v>2</v>
      </c>
      <c r="B50" s="47" t="s">
        <v>3</v>
      </c>
      <c r="C50" s="47" t="s">
        <v>11</v>
      </c>
      <c r="D50" s="47" t="s">
        <v>11</v>
      </c>
      <c r="E50" s="47" t="s">
        <v>11</v>
      </c>
      <c r="F50" s="47" t="s">
        <v>11</v>
      </c>
      <c r="G50" s="47" t="s">
        <v>11</v>
      </c>
      <c r="H50" s="47" t="s">
        <v>81</v>
      </c>
      <c r="I50" s="47" t="s">
        <v>82</v>
      </c>
    </row>
    <row r="51" spans="1:9" ht="16.5">
      <c r="A51" s="35" t="s">
        <v>38</v>
      </c>
      <c r="B51" s="35" t="s">
        <v>71</v>
      </c>
      <c r="C51" s="35" t="s">
        <v>11</v>
      </c>
      <c r="D51" s="35" t="s">
        <v>11</v>
      </c>
      <c r="E51" s="35" t="s">
        <v>11</v>
      </c>
      <c r="F51" s="35" t="s">
        <v>11</v>
      </c>
      <c r="G51" s="35" t="s">
        <v>11</v>
      </c>
      <c r="H51" s="42" t="s">
        <v>151</v>
      </c>
      <c r="I51" s="43"/>
    </row>
    <row r="52" spans="1:9" ht="16.5">
      <c r="A52" s="35" t="s">
        <v>44</v>
      </c>
      <c r="B52" s="35" t="s">
        <v>45</v>
      </c>
      <c r="C52" s="35" t="s">
        <v>101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 t="s">
        <v>149</v>
      </c>
    </row>
    <row r="53" spans="1:9" ht="16.5">
      <c r="A53" s="35" t="s">
        <v>67</v>
      </c>
      <c r="B53" s="35" t="s">
        <v>11</v>
      </c>
      <c r="C53" s="35" t="s">
        <v>103</v>
      </c>
      <c r="D53" s="35" t="s">
        <v>11</v>
      </c>
      <c r="E53" s="35" t="s">
        <v>11</v>
      </c>
      <c r="F53" s="35" t="s">
        <v>11</v>
      </c>
      <c r="G53" s="35"/>
      <c r="H53" s="42" t="s">
        <v>148</v>
      </c>
      <c r="I53" s="43"/>
    </row>
  </sheetData>
  <mergeCells count="6">
    <mergeCell ref="A1:H1"/>
    <mergeCell ref="A33:H33"/>
    <mergeCell ref="A3:H3"/>
    <mergeCell ref="A26:H26"/>
    <mergeCell ref="A10:H10"/>
    <mergeCell ref="A20:H20"/>
  </mergeCells>
  <phoneticPr fontId="7" type="noConversion"/>
  <conditionalFormatting sqref="H4:H9 H16:H17 H19 H21:H25 H27:H29 H11:H14">
    <cfRule type="cellIs" dxfId="20" priority="15" operator="equal">
      <formula>"✅"</formula>
    </cfRule>
    <cfRule type="cellIs" dxfId="19" priority="16" operator="equal">
      <formula>"⚠️"</formula>
    </cfRule>
  </conditionalFormatting>
  <conditionalFormatting sqref="H15">
    <cfRule type="cellIs" dxfId="18" priority="3" operator="equal">
      <formula>"✅"</formula>
    </cfRule>
    <cfRule type="cellIs" dxfId="17" priority="4" operator="equal">
      <formula>"⚠️"</formula>
    </cfRule>
  </conditionalFormatting>
  <conditionalFormatting sqref="H18">
    <cfRule type="cellIs" dxfId="16" priority="1" operator="equal">
      <formula>"✅"</formula>
    </cfRule>
    <cfRule type="cellIs" dxfId="15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54"/>
  <sheetViews>
    <sheetView tabSelected="1" workbookViewId="0">
      <pane ySplit="3" topLeftCell="A25" activePane="bottomLeft" state="frozen"/>
      <selection pane="bottomLeft" activeCell="B37" sqref="B37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95" t="s">
        <v>392</v>
      </c>
      <c r="B1" s="96"/>
      <c r="C1" s="96"/>
      <c r="D1" s="96"/>
      <c r="E1" s="96"/>
      <c r="F1" s="96"/>
    </row>
    <row r="2" spans="1:8" ht="15.75" customHeight="1">
      <c r="A2" s="97" t="s">
        <v>152</v>
      </c>
      <c r="B2" s="96"/>
      <c r="C2" s="96"/>
      <c r="D2" s="96"/>
      <c r="E2" s="96"/>
      <c r="F2" s="96"/>
    </row>
    <row r="3" spans="1:8" ht="15" customHeight="1">
      <c r="A3" s="1" t="s">
        <v>384</v>
      </c>
      <c r="B3" s="1" t="s">
        <v>2</v>
      </c>
      <c r="C3" s="1" t="s">
        <v>3</v>
      </c>
      <c r="D3" s="15" t="s">
        <v>337</v>
      </c>
      <c r="E3" s="1" t="s">
        <v>336</v>
      </c>
      <c r="F3" s="1" t="s">
        <v>82</v>
      </c>
    </row>
    <row r="4" spans="1:8" ht="16.5" customHeight="1">
      <c r="A4" s="57" t="s">
        <v>329</v>
      </c>
      <c r="B4" s="57" t="s">
        <v>9</v>
      </c>
      <c r="C4" s="57" t="s">
        <v>10</v>
      </c>
      <c r="D4" s="57">
        <v>0</v>
      </c>
      <c r="E4" s="66">
        <v>0</v>
      </c>
      <c r="F4" s="57" t="s">
        <v>329</v>
      </c>
    </row>
    <row r="5" spans="1:8" ht="16.5" customHeight="1">
      <c r="A5" s="8" t="s">
        <v>378</v>
      </c>
      <c r="B5" s="8" t="s">
        <v>12</v>
      </c>
      <c r="C5" s="8" t="s">
        <v>13</v>
      </c>
      <c r="D5" s="69">
        <v>10000</v>
      </c>
      <c r="E5" s="69">
        <v>10000</v>
      </c>
      <c r="F5" s="70" t="s">
        <v>338</v>
      </c>
      <c r="H5" s="62" t="s">
        <v>380</v>
      </c>
    </row>
    <row r="6" spans="1:8" ht="16.5" customHeight="1">
      <c r="A6" s="69" t="s">
        <v>378</v>
      </c>
      <c r="B6" s="8" t="s">
        <v>375</v>
      </c>
      <c r="C6" s="8" t="s">
        <v>69</v>
      </c>
      <c r="D6" s="69">
        <v>20100</v>
      </c>
      <c r="E6" s="69">
        <v>20100</v>
      </c>
      <c r="F6" s="70" t="s">
        <v>341</v>
      </c>
      <c r="H6" s="62" t="s">
        <v>380</v>
      </c>
    </row>
    <row r="7" spans="1:8" ht="16.5" customHeight="1">
      <c r="A7" s="69" t="s">
        <v>362</v>
      </c>
      <c r="B7" s="8" t="s">
        <v>15</v>
      </c>
      <c r="C7" s="8" t="s">
        <v>16</v>
      </c>
      <c r="D7" s="71">
        <v>16000</v>
      </c>
      <c r="E7" s="8">
        <v>27000</v>
      </c>
      <c r="F7" s="70" t="s">
        <v>339</v>
      </c>
      <c r="H7" s="62" t="s">
        <v>380</v>
      </c>
    </row>
    <row r="8" spans="1:8" s="62" customFormat="1" ht="16.5">
      <c r="A8" s="79" t="s">
        <v>383</v>
      </c>
      <c r="B8" s="79" t="s">
        <v>369</v>
      </c>
      <c r="C8" s="82" t="s">
        <v>62</v>
      </c>
      <c r="D8" s="82">
        <v>20000</v>
      </c>
      <c r="E8" s="82">
        <v>20000</v>
      </c>
      <c r="F8" s="79"/>
    </row>
    <row r="9" spans="1:8" ht="16.5" customHeight="1">
      <c r="A9" s="69" t="s">
        <v>379</v>
      </c>
      <c r="B9" s="8" t="s">
        <v>44</v>
      </c>
      <c r="C9" s="8" t="s">
        <v>45</v>
      </c>
      <c r="D9" s="69">
        <v>71000</v>
      </c>
      <c r="E9" s="69">
        <v>71000</v>
      </c>
      <c r="F9" s="70" t="s">
        <v>349</v>
      </c>
      <c r="H9" s="62" t="s">
        <v>380</v>
      </c>
    </row>
    <row r="10" spans="1:8" s="62" customFormat="1" ht="16.5" customHeight="1">
      <c r="A10" s="79"/>
      <c r="B10" s="63"/>
      <c r="C10" s="63"/>
      <c r="D10" s="79"/>
      <c r="E10" s="63"/>
      <c r="F10" s="70"/>
      <c r="H10" s="68"/>
    </row>
    <row r="11" spans="1:8" s="62" customFormat="1" ht="16.5" customHeight="1">
      <c r="A11" s="79"/>
      <c r="B11" s="63"/>
      <c r="C11" s="63"/>
      <c r="D11" s="79"/>
      <c r="E11" s="63"/>
      <c r="F11" s="70"/>
      <c r="H11" s="68"/>
    </row>
    <row r="12" spans="1:8" ht="33">
      <c r="A12" s="79" t="s">
        <v>364</v>
      </c>
      <c r="B12" s="63" t="s">
        <v>365</v>
      </c>
      <c r="C12" s="63" t="s">
        <v>374</v>
      </c>
      <c r="D12" s="35">
        <v>46000</v>
      </c>
      <c r="E12" s="73">
        <v>110000</v>
      </c>
      <c r="F12" s="51" t="s">
        <v>363</v>
      </c>
      <c r="G12" s="67" t="s">
        <v>355</v>
      </c>
      <c r="H12" s="76" t="s">
        <v>359</v>
      </c>
    </row>
    <row r="13" spans="1:8">
      <c r="A13" s="85"/>
      <c r="B13" s="85"/>
      <c r="C13" s="85"/>
      <c r="D13" s="85"/>
      <c r="E13" s="85"/>
      <c r="F13" s="85"/>
    </row>
    <row r="14" spans="1:8" ht="16.5" customHeight="1">
      <c r="A14" s="8" t="s">
        <v>23</v>
      </c>
      <c r="B14" s="8" t="s">
        <v>21</v>
      </c>
      <c r="C14" s="8" t="s">
        <v>125</v>
      </c>
      <c r="D14" s="71">
        <v>60000</v>
      </c>
      <c r="E14" s="71">
        <v>60000</v>
      </c>
      <c r="F14" s="70" t="s">
        <v>341</v>
      </c>
      <c r="G14" s="67"/>
      <c r="H14" s="81" t="s">
        <v>372</v>
      </c>
    </row>
    <row r="15" spans="1:8" s="62" customFormat="1" ht="16.5" customHeight="1">
      <c r="A15" s="79"/>
      <c r="B15" s="79"/>
      <c r="C15" s="79"/>
      <c r="D15" s="79"/>
      <c r="E15" s="79"/>
      <c r="F15" s="79"/>
      <c r="G15" s="75"/>
      <c r="H15" s="81"/>
    </row>
    <row r="16" spans="1:8" ht="16.5" customHeight="1">
      <c r="A16" s="8" t="s">
        <v>27</v>
      </c>
      <c r="B16" s="8" t="s">
        <v>25</v>
      </c>
      <c r="C16" s="8" t="s">
        <v>26</v>
      </c>
      <c r="D16" s="8">
        <v>7000</v>
      </c>
      <c r="E16" s="8">
        <v>7000</v>
      </c>
      <c r="F16" s="70" t="s">
        <v>342</v>
      </c>
    </row>
    <row r="17" spans="1:8" ht="16.5" customHeight="1">
      <c r="A17" s="65" t="s">
        <v>319</v>
      </c>
      <c r="B17" s="65" t="s">
        <v>373</v>
      </c>
      <c r="C17" s="65" t="s">
        <v>48</v>
      </c>
      <c r="D17" s="65">
        <v>0</v>
      </c>
      <c r="E17" s="65">
        <v>5100</v>
      </c>
      <c r="F17" s="80" t="s">
        <v>343</v>
      </c>
    </row>
    <row r="18" spans="1:8" ht="33">
      <c r="A18" s="48" t="s">
        <v>319</v>
      </c>
      <c r="B18" s="63" t="s">
        <v>367</v>
      </c>
      <c r="C18" s="73" t="s">
        <v>360</v>
      </c>
      <c r="D18" s="77">
        <v>33000</v>
      </c>
      <c r="E18" s="77">
        <v>33000</v>
      </c>
      <c r="F18" s="48" t="s">
        <v>316</v>
      </c>
      <c r="G18" s="67" t="s">
        <v>354</v>
      </c>
      <c r="H18" s="76" t="s">
        <v>358</v>
      </c>
    </row>
    <row r="19" spans="1:8" s="62" customFormat="1" ht="16.5">
      <c r="A19" s="79"/>
      <c r="B19" s="79"/>
      <c r="C19" s="84"/>
      <c r="D19" s="82"/>
      <c r="E19" s="82"/>
      <c r="F19" s="79"/>
      <c r="G19" s="75"/>
      <c r="H19" s="76"/>
    </row>
    <row r="20" spans="1:8" ht="16.5" customHeight="1">
      <c r="A20" s="8" t="s">
        <v>318</v>
      </c>
      <c r="B20" s="8" t="s">
        <v>40</v>
      </c>
      <c r="C20" s="8" t="s">
        <v>58</v>
      </c>
      <c r="D20" s="71">
        <v>26000</v>
      </c>
      <c r="E20" s="71">
        <v>26000</v>
      </c>
      <c r="F20" s="70" t="s">
        <v>344</v>
      </c>
      <c r="H20" s="62" t="s">
        <v>382</v>
      </c>
    </row>
    <row r="21" spans="1:8" ht="16.5" customHeight="1">
      <c r="A21" s="8" t="s">
        <v>381</v>
      </c>
      <c r="B21" s="8" t="s">
        <v>32</v>
      </c>
      <c r="C21" s="8" t="s">
        <v>33</v>
      </c>
      <c r="D21" s="69">
        <v>19000</v>
      </c>
      <c r="E21" s="69">
        <v>19000</v>
      </c>
      <c r="F21" s="63" t="s">
        <v>345</v>
      </c>
      <c r="H21" s="62" t="s">
        <v>382</v>
      </c>
    </row>
    <row r="22" spans="1:8" ht="16.5" customHeight="1">
      <c r="A22" s="8" t="s">
        <v>37</v>
      </c>
      <c r="B22" s="8" t="s">
        <v>35</v>
      </c>
      <c r="C22" s="8" t="s">
        <v>366</v>
      </c>
      <c r="D22" s="8">
        <v>16000</v>
      </c>
      <c r="E22" s="8">
        <v>35000</v>
      </c>
      <c r="F22" s="63" t="s">
        <v>345</v>
      </c>
    </row>
    <row r="23" spans="1:8" s="62" customFormat="1" ht="16.5">
      <c r="A23" s="63" t="s">
        <v>330</v>
      </c>
      <c r="B23" s="63" t="s">
        <v>370</v>
      </c>
      <c r="C23" s="64" t="s">
        <v>60</v>
      </c>
      <c r="D23" s="77">
        <v>13000</v>
      </c>
      <c r="E23" s="77">
        <v>13000</v>
      </c>
      <c r="F23" s="64"/>
    </row>
    <row r="24" spans="1:8" s="62" customFormat="1" ht="16.5">
      <c r="A24" s="63"/>
      <c r="B24" s="63"/>
      <c r="C24" s="64"/>
      <c r="D24" s="82"/>
      <c r="E24" s="82"/>
      <c r="F24" s="64"/>
    </row>
    <row r="25" spans="1:8" ht="16.5" customHeight="1">
      <c r="A25" s="8" t="s">
        <v>39</v>
      </c>
      <c r="B25" s="8" t="s">
        <v>38</v>
      </c>
      <c r="C25" s="8" t="s">
        <v>69</v>
      </c>
      <c r="D25" s="71">
        <v>50000</v>
      </c>
      <c r="E25" s="71">
        <v>50000</v>
      </c>
      <c r="F25" s="70" t="s">
        <v>346</v>
      </c>
    </row>
    <row r="26" spans="1:8" ht="16.5" customHeight="1">
      <c r="A26" s="8" t="s">
        <v>43</v>
      </c>
      <c r="B26" s="8" t="s">
        <v>41</v>
      </c>
      <c r="C26" s="8" t="s">
        <v>42</v>
      </c>
      <c r="D26" s="71">
        <v>20000</v>
      </c>
      <c r="E26" s="71">
        <v>20000</v>
      </c>
      <c r="F26" s="63" t="s">
        <v>348</v>
      </c>
    </row>
    <row r="27" spans="1:8" ht="32.25" customHeight="1">
      <c r="A27" s="69" t="s">
        <v>385</v>
      </c>
      <c r="B27" s="69" t="s">
        <v>402</v>
      </c>
      <c r="C27" s="69" t="s">
        <v>19</v>
      </c>
      <c r="D27" s="69">
        <v>47000</v>
      </c>
      <c r="E27" s="69">
        <v>47000</v>
      </c>
      <c r="F27" s="79" t="s">
        <v>340</v>
      </c>
      <c r="H27" s="86" t="s">
        <v>382</v>
      </c>
    </row>
    <row r="28" spans="1:8" ht="16.5" customHeight="1">
      <c r="A28" s="57" t="s">
        <v>51</v>
      </c>
      <c r="B28" s="57" t="s">
        <v>368</v>
      </c>
      <c r="C28" s="57" t="s">
        <v>50</v>
      </c>
      <c r="D28" s="57">
        <v>0</v>
      </c>
      <c r="E28" s="57">
        <v>0</v>
      </c>
      <c r="F28" s="78" t="s">
        <v>350</v>
      </c>
    </row>
    <row r="29" spans="1:8" ht="18" customHeight="1">
      <c r="A29" s="83" t="s">
        <v>376</v>
      </c>
      <c r="B29" s="8" t="s">
        <v>52</v>
      </c>
      <c r="C29" s="8" t="s">
        <v>53</v>
      </c>
      <c r="D29" s="71">
        <v>60000</v>
      </c>
      <c r="E29" s="71">
        <v>60000</v>
      </c>
      <c r="F29" s="70" t="s">
        <v>351</v>
      </c>
      <c r="H29" t="s">
        <v>377</v>
      </c>
    </row>
    <row r="30" spans="1:8" ht="16.5">
      <c r="A30" s="72"/>
      <c r="B30" s="70" t="s">
        <v>352</v>
      </c>
      <c r="C30" s="72"/>
      <c r="D30" s="72">
        <f>SUM(D4:D29)</f>
        <v>534100</v>
      </c>
      <c r="E30" s="72">
        <f>SUM(E4:E29)</f>
        <v>633200</v>
      </c>
      <c r="F30" s="72"/>
    </row>
    <row r="31" spans="1:8" ht="15.75" customHeight="1">
      <c r="A31" s="97" t="s">
        <v>153</v>
      </c>
      <c r="B31" s="96"/>
      <c r="C31" s="96"/>
      <c r="D31" s="96"/>
      <c r="E31" s="96"/>
      <c r="F31" s="96"/>
    </row>
    <row r="32" spans="1:8" s="89" customFormat="1" ht="30" customHeight="1">
      <c r="A32" s="95" t="s">
        <v>393</v>
      </c>
      <c r="B32" s="96"/>
      <c r="C32" s="96"/>
      <c r="D32" s="96"/>
      <c r="E32" s="96"/>
      <c r="F32" s="96"/>
    </row>
    <row r="33" spans="1:8" s="89" customFormat="1" ht="15.75" customHeight="1">
      <c r="A33" s="97" t="s">
        <v>152</v>
      </c>
      <c r="B33" s="96"/>
      <c r="C33" s="96"/>
      <c r="D33" s="96"/>
      <c r="E33" s="96"/>
      <c r="F33" s="96"/>
    </row>
    <row r="34" spans="1:8" s="89" customFormat="1" ht="15" customHeight="1">
      <c r="A34" s="1" t="s">
        <v>384</v>
      </c>
      <c r="B34" s="1" t="s">
        <v>2</v>
      </c>
      <c r="C34" s="1" t="s">
        <v>3</v>
      </c>
      <c r="D34" s="15" t="s">
        <v>337</v>
      </c>
      <c r="E34" s="1" t="s">
        <v>336</v>
      </c>
      <c r="F34" s="1" t="s">
        <v>82</v>
      </c>
    </row>
    <row r="35" spans="1:8" s="89" customFormat="1" ht="16.5" customHeight="1">
      <c r="A35" s="65" t="s">
        <v>378</v>
      </c>
      <c r="B35" s="8" t="s">
        <v>395</v>
      </c>
      <c r="C35" s="8" t="s">
        <v>396</v>
      </c>
      <c r="D35" s="69">
        <v>100000</v>
      </c>
      <c r="E35" s="69">
        <v>88888</v>
      </c>
      <c r="F35" s="70" t="s">
        <v>399</v>
      </c>
      <c r="H35" s="92" t="s">
        <v>397</v>
      </c>
    </row>
    <row r="36" spans="1:8" s="89" customFormat="1" ht="16.5" customHeight="1">
      <c r="A36" s="69"/>
      <c r="B36" s="8"/>
      <c r="C36" s="8"/>
      <c r="D36" s="69"/>
      <c r="E36" s="69"/>
      <c r="F36" s="70"/>
    </row>
    <row r="37" spans="1:8" s="89" customFormat="1" ht="16.5" customHeight="1">
      <c r="A37" s="69"/>
      <c r="B37" s="8"/>
      <c r="C37" s="8"/>
      <c r="D37" s="69"/>
      <c r="E37" s="8"/>
      <c r="F37" s="70"/>
    </row>
    <row r="38" spans="1:8" s="89" customFormat="1" ht="16.5">
      <c r="A38" s="79"/>
      <c r="B38" s="79"/>
      <c r="C38" s="82"/>
      <c r="D38" s="82"/>
      <c r="E38" s="82"/>
      <c r="F38" s="79"/>
    </row>
    <row r="39" spans="1:8" s="62" customFormat="1" ht="33">
      <c r="A39" s="65" t="s">
        <v>23</v>
      </c>
      <c r="B39" s="8" t="s">
        <v>394</v>
      </c>
      <c r="C39" s="8" t="s">
        <v>387</v>
      </c>
      <c r="D39" s="71">
        <f>109000-D14</f>
        <v>49000</v>
      </c>
      <c r="E39" s="71">
        <f>D39</f>
        <v>49000</v>
      </c>
      <c r="F39" s="70" t="s">
        <v>391</v>
      </c>
      <c r="G39" s="75"/>
      <c r="H39" s="93" t="s">
        <v>398</v>
      </c>
    </row>
    <row r="40" spans="1:8" s="91" customFormat="1" ht="32.25" customHeight="1">
      <c r="A40" s="69" t="s">
        <v>318</v>
      </c>
      <c r="B40" s="69" t="s">
        <v>386</v>
      </c>
      <c r="C40" s="69" t="s">
        <v>400</v>
      </c>
      <c r="D40" s="69">
        <f>90000-D27</f>
        <v>43000</v>
      </c>
      <c r="E40" s="69">
        <f>D40</f>
        <v>43000</v>
      </c>
      <c r="F40" s="79" t="s">
        <v>351</v>
      </c>
      <c r="H40" s="92" t="s">
        <v>401</v>
      </c>
    </row>
    <row r="43" spans="1:8" ht="14.25">
      <c r="A43" s="36" t="s">
        <v>154</v>
      </c>
    </row>
    <row r="44" spans="1:8" ht="15">
      <c r="A44" s="38" t="s">
        <v>7</v>
      </c>
      <c r="B44" s="38" t="s">
        <v>2</v>
      </c>
      <c r="C44" s="38" t="s">
        <v>3</v>
      </c>
      <c r="D44" s="15" t="s">
        <v>337</v>
      </c>
      <c r="E44" s="1" t="s">
        <v>336</v>
      </c>
      <c r="F44" s="38" t="s">
        <v>82</v>
      </c>
    </row>
    <row r="45" spans="1:8" ht="16.5">
      <c r="A45" s="79" t="s">
        <v>383</v>
      </c>
      <c r="B45" s="79" t="s">
        <v>369</v>
      </c>
      <c r="C45" s="35" t="s">
        <v>62</v>
      </c>
      <c r="D45" s="77">
        <v>20000</v>
      </c>
      <c r="E45" s="77">
        <v>20000</v>
      </c>
      <c r="F45" s="63"/>
    </row>
    <row r="46" spans="1:8" s="62" customFormat="1" ht="33">
      <c r="A46" s="79" t="s">
        <v>364</v>
      </c>
      <c r="B46" s="63" t="s">
        <v>365</v>
      </c>
      <c r="C46" s="64" t="s">
        <v>58</v>
      </c>
      <c r="D46" s="64">
        <v>46000</v>
      </c>
      <c r="E46" s="73">
        <v>110000</v>
      </c>
      <c r="F46" s="63" t="s">
        <v>363</v>
      </c>
      <c r="G46" s="67" t="s">
        <v>355</v>
      </c>
      <c r="H46" s="76" t="s">
        <v>359</v>
      </c>
    </row>
    <row r="47" spans="1:8" s="62" customFormat="1" ht="33">
      <c r="A47" s="63" t="s">
        <v>319</v>
      </c>
      <c r="B47" s="63" t="s">
        <v>367</v>
      </c>
      <c r="C47" s="73" t="s">
        <v>360</v>
      </c>
      <c r="D47" s="77">
        <v>33000</v>
      </c>
      <c r="E47" s="77">
        <v>33000</v>
      </c>
      <c r="F47" s="63" t="s">
        <v>316</v>
      </c>
      <c r="G47" s="67" t="s">
        <v>354</v>
      </c>
      <c r="H47" s="76" t="s">
        <v>358</v>
      </c>
    </row>
    <row r="48" spans="1:8" ht="16.5">
      <c r="A48" s="51" t="s">
        <v>330</v>
      </c>
      <c r="B48" s="63" t="s">
        <v>370</v>
      </c>
      <c r="C48" s="35" t="s">
        <v>60</v>
      </c>
      <c r="D48" s="77">
        <v>13000</v>
      </c>
      <c r="E48" s="77">
        <v>13000</v>
      </c>
      <c r="F48" s="35"/>
    </row>
    <row r="49" spans="1:6" ht="16.5">
      <c r="A49" s="51" t="s">
        <v>331</v>
      </c>
      <c r="B49" s="35" t="s">
        <v>40</v>
      </c>
      <c r="C49" s="35" t="s">
        <v>11</v>
      </c>
      <c r="D49" s="35"/>
      <c r="E49" s="35"/>
      <c r="F49" s="63" t="s">
        <v>357</v>
      </c>
    </row>
    <row r="50" spans="1:6" ht="16.5">
      <c r="A50" s="51" t="s">
        <v>332</v>
      </c>
      <c r="B50" s="63" t="s">
        <v>371</v>
      </c>
      <c r="C50" s="35" t="s">
        <v>11</v>
      </c>
      <c r="D50" s="35"/>
      <c r="E50" s="35"/>
      <c r="F50" s="63" t="s">
        <v>357</v>
      </c>
    </row>
    <row r="51" spans="1:6" ht="16.5">
      <c r="A51" s="35" t="s">
        <v>11</v>
      </c>
      <c r="B51" s="35" t="s">
        <v>44</v>
      </c>
      <c r="C51" s="35" t="s">
        <v>45</v>
      </c>
      <c r="D51" s="35"/>
      <c r="E51" s="35"/>
      <c r="F51" s="35"/>
    </row>
    <row r="52" spans="1:6" ht="16.5">
      <c r="A52" s="35" t="s">
        <v>11</v>
      </c>
      <c r="B52" s="35" t="s">
        <v>67</v>
      </c>
      <c r="C52" s="35" t="s">
        <v>11</v>
      </c>
      <c r="D52" s="35"/>
      <c r="E52" s="35"/>
      <c r="F52" s="35"/>
    </row>
    <row r="53" spans="1:6" ht="16.5">
      <c r="A53" s="35" t="s">
        <v>11</v>
      </c>
      <c r="B53" s="35" t="s">
        <v>38</v>
      </c>
      <c r="C53" s="35" t="s">
        <v>71</v>
      </c>
      <c r="D53" s="35"/>
      <c r="E53" s="35"/>
      <c r="F53" s="35"/>
    </row>
    <row r="54" spans="1:6" ht="16.5">
      <c r="A54" s="72"/>
      <c r="B54" s="70" t="s">
        <v>352</v>
      </c>
      <c r="C54" s="72"/>
      <c r="D54" s="72">
        <f>SUM(D12:D53)</f>
        <v>1235100</v>
      </c>
      <c r="E54" s="72">
        <f>SUM(E12:E53)</f>
        <v>1475188</v>
      </c>
      <c r="F54" s="72"/>
    </row>
  </sheetData>
  <mergeCells count="5">
    <mergeCell ref="A2:F2"/>
    <mergeCell ref="A31:F31"/>
    <mergeCell ref="A1:F1"/>
    <mergeCell ref="A32:F32"/>
    <mergeCell ref="A33:F33"/>
  </mergeCells>
  <phoneticPr fontId="7" type="noConversion"/>
  <conditionalFormatting sqref="D4 D16:D17 D10:E11 D20:E20 D5:E7 D9 D21:D22 D25:D26 D28:D29">
    <cfRule type="cellIs" dxfId="14" priority="10" operator="equal">
      <formula>"✅"</formula>
    </cfRule>
  </conditionalFormatting>
  <conditionalFormatting sqref="E16">
    <cfRule type="cellIs" dxfId="13" priority="8" operator="equal">
      <formula>"✅"</formula>
    </cfRule>
  </conditionalFormatting>
  <conditionalFormatting sqref="E17">
    <cfRule type="cellIs" dxfId="12" priority="7" operator="equal">
      <formula>"✅"</formula>
    </cfRule>
  </conditionalFormatting>
  <conditionalFormatting sqref="E21">
    <cfRule type="cellIs" dxfId="11" priority="6" operator="equal">
      <formula>"✅"</formula>
    </cfRule>
  </conditionalFormatting>
  <conditionalFormatting sqref="E25">
    <cfRule type="cellIs" dxfId="10" priority="5" operator="equal">
      <formula>"✅"</formula>
    </cfRule>
  </conditionalFormatting>
  <conditionalFormatting sqref="E26">
    <cfRule type="cellIs" dxfId="9" priority="4" operator="equal">
      <formula>"✅"</formula>
    </cfRule>
  </conditionalFormatting>
  <conditionalFormatting sqref="E9">
    <cfRule type="cellIs" dxfId="8" priority="3" operator="equal">
      <formula>"✅"</formula>
    </cfRule>
  </conditionalFormatting>
  <conditionalFormatting sqref="E29">
    <cfRule type="cellIs" dxfId="7" priority="2" operator="equal">
      <formula>"✅"</formula>
    </cfRule>
  </conditionalFormatting>
  <conditionalFormatting sqref="D35:E37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95" t="s">
        <v>156</v>
      </c>
      <c r="B1" s="96"/>
      <c r="C1" s="96"/>
      <c r="D1" s="96"/>
      <c r="E1" s="96"/>
      <c r="F1" s="96"/>
      <c r="G1" s="96"/>
      <c r="H1" s="96"/>
    </row>
    <row r="3" spans="1:8" ht="15" customHeight="1">
      <c r="A3" s="104" t="s">
        <v>157</v>
      </c>
      <c r="B3" s="96"/>
      <c r="C3" s="96"/>
      <c r="D3" s="96"/>
      <c r="E3" s="96"/>
      <c r="F3" s="96"/>
      <c r="G3" s="96"/>
      <c r="H3" s="96"/>
    </row>
    <row r="4" spans="1:8" ht="15" customHeight="1">
      <c r="A4" s="1" t="s">
        <v>2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 t="s">
        <v>164</v>
      </c>
    </row>
    <row r="5" spans="1:8" ht="16.5" customHeight="1">
      <c r="A5" s="8" t="s">
        <v>41</v>
      </c>
      <c r="B5" s="8" t="s">
        <v>165</v>
      </c>
      <c r="C5" s="8">
        <v>3</v>
      </c>
      <c r="D5" s="8">
        <v>0</v>
      </c>
      <c r="E5" s="8">
        <v>3</v>
      </c>
      <c r="F5" s="8" t="s">
        <v>166</v>
      </c>
      <c r="G5" s="8" t="s">
        <v>167</v>
      </c>
      <c r="H5" s="8" t="s">
        <v>168</v>
      </c>
    </row>
    <row r="6" spans="1:8" ht="33" customHeight="1">
      <c r="A6" s="8" t="s">
        <v>41</v>
      </c>
      <c r="B6" s="8" t="s">
        <v>169</v>
      </c>
      <c r="C6" s="8">
        <v>5</v>
      </c>
      <c r="D6" s="8">
        <v>0</v>
      </c>
      <c r="E6" s="8">
        <v>5</v>
      </c>
      <c r="F6" s="8" t="s">
        <v>170</v>
      </c>
      <c r="G6" s="8" t="s">
        <v>171</v>
      </c>
      <c r="H6" s="8" t="s">
        <v>172</v>
      </c>
    </row>
    <row r="7" spans="1:8" ht="16.5" customHeight="1">
      <c r="A7" s="8" t="s">
        <v>35</v>
      </c>
      <c r="B7" s="8" t="s">
        <v>173</v>
      </c>
      <c r="C7" s="8">
        <v>6</v>
      </c>
      <c r="D7" s="8">
        <v>0</v>
      </c>
      <c r="E7" s="8">
        <v>6</v>
      </c>
      <c r="F7" s="8" t="s">
        <v>174</v>
      </c>
      <c r="G7" s="8" t="s">
        <v>175</v>
      </c>
      <c r="H7" s="8" t="s">
        <v>176</v>
      </c>
    </row>
    <row r="8" spans="1:8" ht="16.5" customHeight="1">
      <c r="A8" s="8" t="s">
        <v>35</v>
      </c>
      <c r="B8" s="8" t="s">
        <v>165</v>
      </c>
      <c r="C8" s="8">
        <v>2</v>
      </c>
      <c r="D8" s="8">
        <v>0</v>
      </c>
      <c r="E8" s="8">
        <v>2</v>
      </c>
      <c r="F8" s="8" t="s">
        <v>166</v>
      </c>
      <c r="G8" s="8" t="s">
        <v>177</v>
      </c>
      <c r="H8" s="8" t="s">
        <v>178</v>
      </c>
    </row>
    <row r="9" spans="1:8" ht="33" customHeight="1">
      <c r="A9" s="8" t="s">
        <v>35</v>
      </c>
      <c r="B9" s="8" t="s">
        <v>179</v>
      </c>
      <c r="C9" s="8">
        <v>4</v>
      </c>
      <c r="D9" s="8">
        <v>0</v>
      </c>
      <c r="E9" s="8">
        <v>4</v>
      </c>
      <c r="F9" s="8" t="s">
        <v>170</v>
      </c>
      <c r="G9" s="8" t="s">
        <v>180</v>
      </c>
      <c r="H9" s="8" t="s">
        <v>178</v>
      </c>
    </row>
    <row r="10" spans="1:8" ht="33" customHeight="1">
      <c r="A10" s="35" t="s">
        <v>35</v>
      </c>
      <c r="B10" s="35" t="s">
        <v>181</v>
      </c>
      <c r="C10" s="35">
        <v>6</v>
      </c>
      <c r="D10" s="35">
        <v>0</v>
      </c>
      <c r="E10" s="35">
        <v>6</v>
      </c>
      <c r="F10" s="35" t="s">
        <v>170</v>
      </c>
      <c r="G10" s="35" t="s">
        <v>182</v>
      </c>
      <c r="H10" s="35" t="s">
        <v>183</v>
      </c>
    </row>
    <row r="11" spans="1:8" ht="16.5" customHeight="1">
      <c r="A11" s="8" t="s">
        <v>49</v>
      </c>
      <c r="B11" s="8" t="s">
        <v>184</v>
      </c>
      <c r="C11" s="8">
        <v>6</v>
      </c>
      <c r="D11" s="8">
        <v>0</v>
      </c>
      <c r="E11" s="8">
        <v>6</v>
      </c>
      <c r="F11" s="8" t="s">
        <v>170</v>
      </c>
      <c r="G11" s="8" t="s">
        <v>182</v>
      </c>
      <c r="H11" s="8" t="s">
        <v>172</v>
      </c>
    </row>
    <row r="12" spans="1:8" ht="33" customHeight="1">
      <c r="A12" s="8" t="s">
        <v>49</v>
      </c>
      <c r="B12" s="8" t="s">
        <v>165</v>
      </c>
      <c r="C12" s="8">
        <v>1</v>
      </c>
      <c r="D12" s="8">
        <v>0</v>
      </c>
      <c r="E12" s="8">
        <v>1</v>
      </c>
      <c r="F12" s="8" t="s">
        <v>185</v>
      </c>
      <c r="G12" s="8" t="s">
        <v>185</v>
      </c>
      <c r="H12" s="8" t="s">
        <v>11</v>
      </c>
    </row>
    <row r="13" spans="1:8" ht="33" customHeight="1">
      <c r="A13" s="8" t="s">
        <v>335</v>
      </c>
      <c r="B13" s="8" t="s">
        <v>186</v>
      </c>
      <c r="C13" s="8">
        <v>0</v>
      </c>
      <c r="D13" s="8">
        <v>0</v>
      </c>
      <c r="E13" s="8">
        <v>0</v>
      </c>
      <c r="F13" s="8" t="s">
        <v>166</v>
      </c>
      <c r="G13" s="8" t="s">
        <v>187</v>
      </c>
      <c r="H13" s="8" t="s">
        <v>188</v>
      </c>
    </row>
    <row r="14" spans="1:8" ht="16.5" customHeight="1">
      <c r="A14" s="8" t="s">
        <v>9</v>
      </c>
      <c r="B14" s="8" t="s">
        <v>189</v>
      </c>
      <c r="C14" s="8">
        <v>2</v>
      </c>
      <c r="D14" s="8">
        <v>0</v>
      </c>
      <c r="E14" s="8">
        <v>2</v>
      </c>
      <c r="F14" s="8" t="s">
        <v>190</v>
      </c>
      <c r="G14" s="8" t="s">
        <v>191</v>
      </c>
      <c r="H14" s="8" t="s">
        <v>192</v>
      </c>
    </row>
    <row r="15" spans="1:8" ht="16.5" customHeight="1">
      <c r="A15" s="8" t="s">
        <v>32</v>
      </c>
      <c r="B15" s="8" t="s">
        <v>193</v>
      </c>
      <c r="C15" s="8" t="s">
        <v>194</v>
      </c>
      <c r="D15" s="8">
        <v>0</v>
      </c>
      <c r="E15" s="8" t="s">
        <v>194</v>
      </c>
      <c r="F15" s="8" t="s">
        <v>195</v>
      </c>
      <c r="G15" s="8" t="s">
        <v>11</v>
      </c>
      <c r="H15" s="8" t="s">
        <v>196</v>
      </c>
    </row>
    <row r="16" spans="1:8" ht="16.5" customHeight="1">
      <c r="A16" s="105" t="s">
        <v>197</v>
      </c>
      <c r="B16" s="106"/>
      <c r="C16" s="8">
        <f>SUM(C5:C15)</f>
        <v>35</v>
      </c>
      <c r="D16" s="8">
        <f>SUM(D5:D15)</f>
        <v>0</v>
      </c>
      <c r="E16" s="8">
        <f>SUM(E5:E15)</f>
        <v>35</v>
      </c>
      <c r="F16" s="105" t="s">
        <v>198</v>
      </c>
      <c r="G16" s="106"/>
      <c r="H16" s="21"/>
    </row>
    <row r="17" spans="1:8" ht="15" customHeight="1">
      <c r="A17" s="96"/>
      <c r="B17" s="96"/>
      <c r="C17" s="96"/>
      <c r="D17" s="96"/>
      <c r="E17" s="96"/>
      <c r="F17" s="96"/>
      <c r="G17" s="96"/>
      <c r="H17" s="96"/>
    </row>
    <row r="18" spans="1:8" ht="15" customHeight="1">
      <c r="A18" s="33" t="s">
        <v>199</v>
      </c>
    </row>
    <row r="19" spans="1:8" ht="16.5" customHeight="1">
      <c r="A19" s="1" t="s">
        <v>200</v>
      </c>
      <c r="B19" s="1" t="s">
        <v>2</v>
      </c>
      <c r="C19" s="1" t="s">
        <v>158</v>
      </c>
      <c r="D19" s="1" t="s">
        <v>201</v>
      </c>
      <c r="E19" s="1" t="s">
        <v>202</v>
      </c>
      <c r="F19" s="1" t="s">
        <v>203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204</v>
      </c>
    </row>
    <row r="33" spans="1:9" ht="15">
      <c r="A33" s="38" t="s">
        <v>2</v>
      </c>
      <c r="B33" s="38" t="s">
        <v>3</v>
      </c>
      <c r="C33" s="38" t="s">
        <v>205</v>
      </c>
      <c r="D33" s="38" t="s">
        <v>206</v>
      </c>
      <c r="E33" s="38" t="s">
        <v>207</v>
      </c>
      <c r="F33" s="38" t="s">
        <v>161</v>
      </c>
      <c r="G33" s="38" t="s">
        <v>208</v>
      </c>
      <c r="H33" s="38" t="s">
        <v>209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210</v>
      </c>
      <c r="D34" s="35">
        <v>4</v>
      </c>
      <c r="E34" s="35">
        <v>0</v>
      </c>
      <c r="F34" s="35">
        <v>4</v>
      </c>
      <c r="G34" s="35" t="s">
        <v>170</v>
      </c>
      <c r="H34" s="35" t="s">
        <v>211</v>
      </c>
      <c r="I34" t="s">
        <v>212</v>
      </c>
    </row>
    <row r="35" spans="1:9" ht="33">
      <c r="A35" s="35" t="s">
        <v>28</v>
      </c>
      <c r="B35" s="35" t="s">
        <v>58</v>
      </c>
      <c r="C35" s="35" t="s">
        <v>213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214</v>
      </c>
    </row>
    <row r="36" spans="1:9" ht="16.5">
      <c r="A36" s="35" t="s">
        <v>59</v>
      </c>
      <c r="B36" s="35" t="s">
        <v>60</v>
      </c>
      <c r="C36" s="35" t="s">
        <v>173</v>
      </c>
      <c r="D36" s="35">
        <v>6</v>
      </c>
      <c r="E36" s="35">
        <v>0</v>
      </c>
      <c r="F36" s="35">
        <v>6</v>
      </c>
      <c r="G36" s="35" t="s">
        <v>170</v>
      </c>
      <c r="H36" s="35" t="s">
        <v>215</v>
      </c>
    </row>
    <row r="37" spans="1:9" ht="16.5">
      <c r="A37" s="35" t="s">
        <v>59</v>
      </c>
      <c r="B37" s="35" t="s">
        <v>60</v>
      </c>
      <c r="C37" s="35" t="s">
        <v>216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217</v>
      </c>
      <c r="I37" t="s">
        <v>218</v>
      </c>
    </row>
    <row r="38" spans="1:9" ht="33">
      <c r="A38" s="35" t="s">
        <v>41</v>
      </c>
      <c r="B38" s="35" t="s">
        <v>62</v>
      </c>
      <c r="C38" s="35" t="s">
        <v>219</v>
      </c>
      <c r="D38" s="35">
        <v>2</v>
      </c>
      <c r="E38" s="35">
        <v>0</v>
      </c>
      <c r="F38" s="35">
        <v>2</v>
      </c>
      <c r="G38" s="35" t="s">
        <v>185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173</v>
      </c>
      <c r="D39" s="35">
        <v>4</v>
      </c>
      <c r="E39" s="35">
        <v>0</v>
      </c>
      <c r="F39" s="35">
        <v>4</v>
      </c>
      <c r="G39" s="35" t="s">
        <v>170</v>
      </c>
      <c r="H39" s="35" t="s">
        <v>215</v>
      </c>
      <c r="I39" t="s">
        <v>220</v>
      </c>
    </row>
    <row r="40" spans="1:9" ht="33">
      <c r="A40" s="35" t="s">
        <v>41</v>
      </c>
      <c r="B40" s="35" t="s">
        <v>62</v>
      </c>
      <c r="C40" s="35" t="s">
        <v>221</v>
      </c>
      <c r="D40" s="35">
        <v>6</v>
      </c>
      <c r="E40" s="35">
        <v>0</v>
      </c>
      <c r="F40" s="35">
        <v>6</v>
      </c>
      <c r="G40" s="35" t="s">
        <v>11</v>
      </c>
      <c r="H40" s="35" t="s">
        <v>217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95" t="s">
        <v>222</v>
      </c>
      <c r="B1" s="96"/>
      <c r="C1" s="96"/>
      <c r="D1" s="96"/>
      <c r="E1" s="96"/>
      <c r="F1" s="96"/>
      <c r="G1" s="96"/>
      <c r="H1" s="96"/>
    </row>
    <row r="3" spans="1:8" ht="15" customHeight="1">
      <c r="A3" s="104" t="s">
        <v>223</v>
      </c>
      <c r="B3" s="96"/>
      <c r="C3" s="96"/>
      <c r="D3" s="96"/>
      <c r="E3" s="96"/>
    </row>
    <row r="4" spans="1:8" ht="15" customHeight="1">
      <c r="A4" s="1" t="s">
        <v>224</v>
      </c>
      <c r="B4" s="1" t="s">
        <v>2</v>
      </c>
      <c r="C4" s="1" t="s">
        <v>225</v>
      </c>
      <c r="D4" s="1" t="s">
        <v>226</v>
      </c>
      <c r="E4" s="1" t="s">
        <v>227</v>
      </c>
    </row>
    <row r="5" spans="1:8" ht="49.5" customHeight="1">
      <c r="A5" s="8" t="s">
        <v>228</v>
      </c>
      <c r="B5" s="8" t="s">
        <v>47</v>
      </c>
      <c r="C5" s="8" t="s">
        <v>229</v>
      </c>
      <c r="D5" s="8" t="s">
        <v>230</v>
      </c>
      <c r="E5" s="8" t="s">
        <v>231</v>
      </c>
    </row>
    <row r="6" spans="1:8" ht="33" customHeight="1">
      <c r="A6" s="8" t="s">
        <v>232</v>
      </c>
      <c r="B6" s="8" t="s">
        <v>18</v>
      </c>
      <c r="C6" s="8" t="s">
        <v>233</v>
      </c>
      <c r="D6" s="8" t="s">
        <v>234</v>
      </c>
      <c r="E6" s="8" t="s">
        <v>231</v>
      </c>
    </row>
    <row r="7" spans="1:8" ht="33" customHeight="1">
      <c r="A7" s="8" t="s">
        <v>235</v>
      </c>
      <c r="B7" s="8" t="s">
        <v>25</v>
      </c>
      <c r="C7" s="8" t="s">
        <v>236</v>
      </c>
      <c r="D7" s="8" t="s">
        <v>237</v>
      </c>
      <c r="E7" s="8" t="s">
        <v>231</v>
      </c>
    </row>
    <row r="8" spans="1:8" ht="33" customHeight="1">
      <c r="A8" s="8" t="s">
        <v>238</v>
      </c>
      <c r="B8" s="8" t="s">
        <v>239</v>
      </c>
      <c r="C8" s="8" t="s">
        <v>240</v>
      </c>
      <c r="D8" s="8" t="s">
        <v>241</v>
      </c>
      <c r="E8" s="8" t="s">
        <v>242</v>
      </c>
    </row>
    <row r="11" spans="1:8" ht="15" customHeight="1">
      <c r="A11" s="104" t="s">
        <v>243</v>
      </c>
      <c r="B11" s="96"/>
      <c r="C11" s="96"/>
      <c r="D11" s="96"/>
      <c r="E11" s="96"/>
      <c r="F11" s="96"/>
      <c r="G11" s="96"/>
      <c r="H11" s="96"/>
    </row>
    <row r="12" spans="1:8" ht="15" customHeight="1">
      <c r="A12" s="1" t="s">
        <v>200</v>
      </c>
      <c r="B12" s="1" t="s">
        <v>2</v>
      </c>
      <c r="C12" s="1" t="s">
        <v>244</v>
      </c>
      <c r="D12" s="1" t="s">
        <v>245</v>
      </c>
      <c r="E12" s="1" t="s">
        <v>246</v>
      </c>
      <c r="F12" s="1" t="s">
        <v>247</v>
      </c>
      <c r="G12" s="1" t="s">
        <v>248</v>
      </c>
      <c r="H12" s="1" t="s">
        <v>249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95" t="s">
        <v>250</v>
      </c>
      <c r="B1" s="96"/>
      <c r="C1" s="96"/>
      <c r="D1" s="96"/>
      <c r="E1" s="96"/>
      <c r="F1" s="96"/>
    </row>
    <row r="3" spans="1:6" ht="15" customHeight="1">
      <c r="A3" s="104" t="s">
        <v>251</v>
      </c>
      <c r="B3" s="96"/>
      <c r="C3" s="96"/>
      <c r="D3" s="96"/>
      <c r="E3" s="96"/>
      <c r="F3" s="96"/>
    </row>
    <row r="4" spans="1:6" ht="15" customHeight="1">
      <c r="A4" s="5" t="s">
        <v>2</v>
      </c>
      <c r="B4" s="5" t="s">
        <v>3</v>
      </c>
      <c r="C4" s="5" t="s">
        <v>252</v>
      </c>
      <c r="D4" s="5" t="s">
        <v>245</v>
      </c>
      <c r="E4" s="5" t="s">
        <v>253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254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254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254</v>
      </c>
      <c r="E7" s="8">
        <v>900</v>
      </c>
      <c r="F7" s="8" t="s">
        <v>129</v>
      </c>
    </row>
    <row r="8" spans="1:6" ht="16.5" customHeight="1">
      <c r="A8" s="109" t="s">
        <v>47</v>
      </c>
      <c r="B8" s="100"/>
      <c r="C8" s="35">
        <v>500</v>
      </c>
      <c r="D8" s="35" t="s">
        <v>255</v>
      </c>
      <c r="E8" s="35" t="s">
        <v>11</v>
      </c>
      <c r="F8" s="35" t="s">
        <v>256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257</v>
      </c>
      <c r="E9" s="35" t="s">
        <v>11</v>
      </c>
      <c r="F9" s="35" t="s">
        <v>115</v>
      </c>
    </row>
    <row r="10" spans="1:6" ht="15" customHeight="1">
      <c r="A10" s="107"/>
      <c r="B10" s="99"/>
      <c r="C10" s="99"/>
      <c r="D10" s="99"/>
      <c r="E10" s="99"/>
      <c r="F10" s="100"/>
    </row>
    <row r="11" spans="1:6" ht="15" customHeight="1">
      <c r="A11" s="105" t="s">
        <v>197</v>
      </c>
      <c r="B11" s="100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258</v>
      </c>
    </row>
    <row r="14" spans="1:6" ht="16.5" customHeight="1">
      <c r="A14" s="6" t="s">
        <v>259</v>
      </c>
      <c r="B14" s="6" t="s">
        <v>260</v>
      </c>
      <c r="C14" s="6" t="s">
        <v>261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262</v>
      </c>
      <c r="B15" s="8" t="s">
        <v>263</v>
      </c>
      <c r="C15" s="8">
        <v>0</v>
      </c>
    </row>
    <row r="16" spans="1:6" ht="16.5" customHeight="1">
      <c r="A16" s="8" t="s">
        <v>264</v>
      </c>
      <c r="B16" s="8" t="s">
        <v>11</v>
      </c>
      <c r="C16" s="8">
        <v>0</v>
      </c>
    </row>
    <row r="17" spans="1:6" ht="15" customHeight="1">
      <c r="A17" s="108" t="s">
        <v>265</v>
      </c>
      <c r="B17" s="99"/>
      <c r="C17" s="99"/>
      <c r="D17" s="99"/>
      <c r="E17" s="99"/>
      <c r="F17" s="100"/>
    </row>
    <row r="18" spans="1:6" ht="15" customHeight="1">
      <c r="A18" s="11" t="s">
        <v>197</v>
      </c>
      <c r="B18" s="11" t="s">
        <v>263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266</v>
      </c>
    </row>
    <row r="21" spans="1:6" ht="16.5" customHeight="1">
      <c r="A21" s="1" t="s">
        <v>267</v>
      </c>
      <c r="B21" s="1" t="s">
        <v>268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269</v>
      </c>
      <c r="B22" s="23" t="s">
        <v>270</v>
      </c>
    </row>
    <row r="23" spans="1:6" ht="15.75" customHeight="1">
      <c r="A23" s="108" t="s">
        <v>163</v>
      </c>
      <c r="B23" s="99"/>
      <c r="C23" s="99"/>
      <c r="D23" s="99"/>
      <c r="E23" s="99"/>
      <c r="F23" s="100"/>
    </row>
    <row r="24" spans="1:6" ht="16.5" customHeight="1">
      <c r="A24" s="8" t="s">
        <v>269</v>
      </c>
      <c r="B24" s="8" t="s">
        <v>271</v>
      </c>
    </row>
    <row r="26" spans="1:6" ht="15.75" customHeight="1">
      <c r="A26" s="31" t="s">
        <v>272</v>
      </c>
    </row>
    <row r="29" spans="1:6" ht="14.25" customHeight="1">
      <c r="A29" s="29" t="s">
        <v>273</v>
      </c>
    </row>
    <row r="30" spans="1:6" ht="15">
      <c r="A30" s="46" t="s">
        <v>2</v>
      </c>
      <c r="B30" s="46" t="s">
        <v>3</v>
      </c>
      <c r="C30" s="46" t="s">
        <v>252</v>
      </c>
      <c r="D30" s="46" t="s">
        <v>245</v>
      </c>
      <c r="E30" s="46" t="s">
        <v>253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255</v>
      </c>
      <c r="E31" s="35" t="s">
        <v>11</v>
      </c>
      <c r="F31" s="35" t="s">
        <v>274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275</v>
      </c>
      <c r="E32" s="35" t="s">
        <v>11</v>
      </c>
      <c r="F32" s="35" t="s">
        <v>276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255</v>
      </c>
      <c r="E33" s="35" t="s">
        <v>11</v>
      </c>
      <c r="F33" s="35" t="s">
        <v>277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278</v>
      </c>
      <c r="E34" s="35" t="s">
        <v>11</v>
      </c>
      <c r="F34" s="35" t="s">
        <v>279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280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95" t="s">
        <v>281</v>
      </c>
      <c r="B1" s="96"/>
      <c r="C1" s="96"/>
      <c r="D1" s="96"/>
      <c r="E1" s="96"/>
      <c r="F1" s="96"/>
      <c r="G1" s="96"/>
      <c r="H1" s="96"/>
    </row>
    <row r="2" spans="1:8" ht="15.75" customHeight="1">
      <c r="A2" s="97" t="s">
        <v>282</v>
      </c>
      <c r="B2" s="96"/>
      <c r="C2" s="96"/>
      <c r="D2" s="96"/>
      <c r="E2" s="96"/>
      <c r="F2" s="96"/>
      <c r="G2" s="96"/>
      <c r="H2" s="96"/>
    </row>
    <row r="3" spans="1:8" ht="15" customHeight="1">
      <c r="A3" s="1" t="s">
        <v>2</v>
      </c>
      <c r="B3" s="1" t="s">
        <v>3</v>
      </c>
      <c r="C3" s="1" t="s">
        <v>283</v>
      </c>
      <c r="D3" s="1" t="s">
        <v>284</v>
      </c>
      <c r="E3" s="1" t="s">
        <v>285</v>
      </c>
      <c r="F3" s="1" t="s">
        <v>78</v>
      </c>
      <c r="G3" s="1" t="s">
        <v>286</v>
      </c>
      <c r="H3" s="1" t="s">
        <v>287</v>
      </c>
    </row>
    <row r="4" spans="1:8" ht="16.5" customHeight="1">
      <c r="A4" s="8" t="s">
        <v>41</v>
      </c>
      <c r="B4" s="8" t="s">
        <v>42</v>
      </c>
      <c r="C4" s="8" t="s">
        <v>288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288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288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288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288</v>
      </c>
      <c r="D8" s="8" t="s">
        <v>11</v>
      </c>
      <c r="E8" s="8" t="s">
        <v>11</v>
      </c>
      <c r="F8" s="8" t="s">
        <v>11</v>
      </c>
      <c r="G8" s="8" t="s">
        <v>289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288</v>
      </c>
      <c r="D9" s="8" t="s">
        <v>11</v>
      </c>
      <c r="E9" s="8" t="s">
        <v>11</v>
      </c>
      <c r="F9" s="8" t="s">
        <v>11</v>
      </c>
      <c r="G9" s="8" t="s">
        <v>289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288</v>
      </c>
      <c r="D10" s="8" t="s">
        <v>11</v>
      </c>
      <c r="E10" s="8" t="s">
        <v>11</v>
      </c>
      <c r="F10" s="8" t="s">
        <v>11</v>
      </c>
      <c r="G10" s="8" t="s">
        <v>290</v>
      </c>
      <c r="H10" s="8" t="s">
        <v>11</v>
      </c>
    </row>
    <row r="13" spans="1:8" ht="14.25" customHeight="1">
      <c r="A13" s="29" t="s">
        <v>291</v>
      </c>
    </row>
    <row r="14" spans="1:8" ht="15">
      <c r="A14" s="38" t="s">
        <v>2</v>
      </c>
      <c r="B14" s="38" t="s">
        <v>3</v>
      </c>
      <c r="C14" s="38" t="s">
        <v>283</v>
      </c>
      <c r="D14" s="38" t="s">
        <v>284</v>
      </c>
      <c r="E14" s="38" t="s">
        <v>285</v>
      </c>
      <c r="F14" s="38" t="s">
        <v>78</v>
      </c>
      <c r="G14" s="38" t="s">
        <v>286</v>
      </c>
      <c r="H14" s="38" t="s">
        <v>287</v>
      </c>
    </row>
    <row r="15" spans="1:8" ht="16.5">
      <c r="A15" s="35" t="s">
        <v>28</v>
      </c>
      <c r="B15" s="35" t="s">
        <v>58</v>
      </c>
      <c r="C15" s="35" t="s">
        <v>288</v>
      </c>
      <c r="D15" s="35" t="s">
        <v>11</v>
      </c>
      <c r="E15" s="35" t="s">
        <v>292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288</v>
      </c>
      <c r="D16" s="35" t="s">
        <v>11</v>
      </c>
      <c r="E16" s="35" t="s">
        <v>293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288</v>
      </c>
      <c r="D17" s="35" t="s">
        <v>11</v>
      </c>
      <c r="E17" s="35" t="s">
        <v>294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288</v>
      </c>
      <c r="D18" s="35" t="s">
        <v>11</v>
      </c>
      <c r="E18" s="35" t="s">
        <v>11</v>
      </c>
      <c r="F18" s="35" t="s">
        <v>11</v>
      </c>
      <c r="G18" s="35" t="s">
        <v>290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110" t="s">
        <v>295</v>
      </c>
      <c r="B1" s="96"/>
      <c r="C1" s="96"/>
      <c r="D1" s="96"/>
      <c r="E1" s="96"/>
      <c r="F1" s="96"/>
    </row>
    <row r="2" spans="1:6" ht="24.95" customHeight="1">
      <c r="A2" s="9" t="s">
        <v>200</v>
      </c>
      <c r="B2" s="9" t="s">
        <v>2</v>
      </c>
      <c r="C2" s="9" t="s">
        <v>296</v>
      </c>
      <c r="D2" s="9" t="s">
        <v>297</v>
      </c>
      <c r="E2" s="9" t="s">
        <v>298</v>
      </c>
      <c r="F2" s="9" t="s">
        <v>82</v>
      </c>
    </row>
    <row r="3" spans="1:6" ht="21.95" customHeight="1">
      <c r="A3" s="10" t="s">
        <v>299</v>
      </c>
      <c r="B3" s="10" t="s">
        <v>49</v>
      </c>
      <c r="C3" s="10" t="s">
        <v>300</v>
      </c>
      <c r="D3" s="10" t="s">
        <v>301</v>
      </c>
      <c r="E3" s="18" t="s">
        <v>302</v>
      </c>
      <c r="F3" s="10" t="s">
        <v>303</v>
      </c>
    </row>
    <row r="4" spans="1:6" ht="21.95" customHeight="1">
      <c r="A4" s="10" t="s">
        <v>304</v>
      </c>
      <c r="B4" s="10" t="s">
        <v>44</v>
      </c>
      <c r="C4" s="10" t="s">
        <v>300</v>
      </c>
      <c r="D4" s="10" t="s">
        <v>305</v>
      </c>
      <c r="E4" s="18" t="s">
        <v>302</v>
      </c>
      <c r="F4" s="10" t="s">
        <v>306</v>
      </c>
    </row>
    <row r="5" spans="1:6" ht="21.95" customHeight="1">
      <c r="A5" s="10" t="s">
        <v>304</v>
      </c>
      <c r="B5" s="10" t="s">
        <v>41</v>
      </c>
      <c r="C5" s="10" t="s">
        <v>300</v>
      </c>
      <c r="D5" s="10" t="s">
        <v>300</v>
      </c>
      <c r="E5" s="19" t="s">
        <v>307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308</v>
      </c>
      <c r="D6" s="10" t="s">
        <v>11</v>
      </c>
      <c r="E6" s="20" t="s">
        <v>309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308</v>
      </c>
      <c r="D7" s="54" t="s">
        <v>11</v>
      </c>
      <c r="E7" s="55" t="s">
        <v>309</v>
      </c>
      <c r="F7" s="56" t="s">
        <v>326</v>
      </c>
    </row>
    <row r="8" spans="1:6" ht="21.95" customHeight="1">
      <c r="A8" s="10" t="s">
        <v>11</v>
      </c>
      <c r="B8" s="10" t="s">
        <v>18</v>
      </c>
      <c r="C8" s="10" t="s">
        <v>300</v>
      </c>
      <c r="D8" s="10" t="s">
        <v>310</v>
      </c>
      <c r="E8" s="19" t="s">
        <v>311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300</v>
      </c>
      <c r="D9" s="10" t="s">
        <v>312</v>
      </c>
      <c r="E9" s="19" t="s">
        <v>311</v>
      </c>
      <c r="F9" s="10" t="s">
        <v>11</v>
      </c>
    </row>
    <row r="10" spans="1:6" ht="21.95" customHeight="1">
      <c r="A10" s="10" t="s">
        <v>313</v>
      </c>
      <c r="B10" s="10" t="s">
        <v>18</v>
      </c>
      <c r="C10" s="10" t="s">
        <v>300</v>
      </c>
      <c r="D10" s="10" t="s">
        <v>314</v>
      </c>
      <c r="E10" s="19" t="s">
        <v>311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300</v>
      </c>
      <c r="D11" s="10" t="s">
        <v>315</v>
      </c>
      <c r="E11" s="20" t="s">
        <v>155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300</v>
      </c>
      <c r="D12" s="10" t="s">
        <v>315</v>
      </c>
      <c r="E12" s="20" t="s">
        <v>155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2026-09-13T12:49:44Z</dcterms:modified>
</cp:coreProperties>
</file>